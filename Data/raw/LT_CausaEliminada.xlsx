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"/>
    </mc:Choice>
  </mc:AlternateContent>
  <xr:revisionPtr revIDLastSave="43" documentId="13_ncr:1_{E1149F43-CA22-49B9-9C04-AF2E621B68E8}" xr6:coauthVersionLast="47" xr6:coauthVersionMax="47" xr10:uidLastSave="{88D3DE54-CDB5-4926-A075-D3F8AD1FDFEC}"/>
  <bookViews>
    <workbookView xWindow="-120" yWindow="-120" windowWidth="20730" windowHeight="11040" firstSheet="3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Homicidios" sheetId="12" r:id="rId6"/>
    <sheet name="Defunciones generales" sheetId="13" r:id="rId7"/>
  </sheets>
  <externalReferences>
    <externalReference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0" l="1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J28" i="10" l="1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K27" i="10"/>
  <c r="J27" i="10"/>
  <c r="H28" i="10"/>
  <c r="H29" i="10"/>
  <c r="H30" i="10"/>
  <c r="H31" i="10"/>
  <c r="H32" i="10"/>
  <c r="H33" i="10"/>
  <c r="H34" i="10"/>
  <c r="H35" i="10"/>
  <c r="I35" i="10" s="1"/>
  <c r="H36" i="10"/>
  <c r="H37" i="10"/>
  <c r="I37" i="10" s="1"/>
  <c r="H38" i="10"/>
  <c r="H39" i="10"/>
  <c r="H40" i="10"/>
  <c r="H41" i="10"/>
  <c r="H42" i="10"/>
  <c r="H43" i="10"/>
  <c r="H44" i="10"/>
  <c r="H45" i="10"/>
  <c r="H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27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4" i="10"/>
  <c r="H5" i="10"/>
  <c r="H6" i="10"/>
  <c r="H7" i="10"/>
  <c r="H8" i="10"/>
  <c r="I8" i="10" s="1"/>
  <c r="H9" i="10"/>
  <c r="I9" i="10" s="1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H16" i="10"/>
  <c r="I16" i="10" s="1"/>
  <c r="H17" i="10"/>
  <c r="H18" i="10"/>
  <c r="H19" i="10"/>
  <c r="I19" i="10" s="1"/>
  <c r="H20" i="10"/>
  <c r="I20" i="10" s="1"/>
  <c r="H21" i="10"/>
  <c r="I21" i="10" s="1"/>
  <c r="H22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4" i="10"/>
  <c r="D5" i="10"/>
  <c r="D6" i="10"/>
  <c r="F6" i="10" s="1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4" i="10"/>
  <c r="F4" i="10" s="1"/>
  <c r="L4" i="10" s="1"/>
  <c r="I4" i="10"/>
  <c r="AA28" i="10"/>
  <c r="I5" i="10"/>
  <c r="V9" i="10"/>
  <c r="I22" i="10"/>
  <c r="AB28" i="10"/>
  <c r="I29" i="10"/>
  <c r="I30" i="10"/>
  <c r="I32" i="10"/>
  <c r="V32" i="10"/>
  <c r="I33" i="10"/>
  <c r="I34" i="10"/>
  <c r="I38" i="10"/>
  <c r="I39" i="10"/>
  <c r="I40" i="10"/>
  <c r="I42" i="10"/>
  <c r="I43" i="10"/>
  <c r="I44" i="10"/>
  <c r="I45" i="10"/>
  <c r="AH5" i="1"/>
  <c r="AJ6" i="1"/>
  <c r="F28" i="10" l="1"/>
  <c r="L28" i="10" s="1"/>
  <c r="M28" i="10" s="1"/>
  <c r="F41" i="10"/>
  <c r="L41" i="10" s="1"/>
  <c r="M41" i="10" s="1"/>
  <c r="F42" i="10"/>
  <c r="L42" i="10" s="1"/>
  <c r="M42" i="10" s="1"/>
  <c r="F27" i="10"/>
  <c r="F34" i="10"/>
  <c r="L34" i="10" s="1"/>
  <c r="M34" i="10" s="1"/>
  <c r="F16" i="10"/>
  <c r="L16" i="10" s="1"/>
  <c r="M16" i="10" s="1"/>
  <c r="F35" i="10"/>
  <c r="L35" i="10" s="1"/>
  <c r="M35" i="10" s="1"/>
  <c r="F12" i="10"/>
  <c r="L12" i="10" s="1"/>
  <c r="M12" i="10" s="1"/>
  <c r="F31" i="10"/>
  <c r="L31" i="10" s="1"/>
  <c r="M31" i="10" s="1"/>
  <c r="F21" i="10"/>
  <c r="L21" i="10" s="1"/>
  <c r="M21" i="10" s="1"/>
  <c r="P21" i="10" s="1"/>
  <c r="F11" i="10"/>
  <c r="L11" i="10" s="1"/>
  <c r="M11" i="10" s="1"/>
  <c r="F17" i="10"/>
  <c r="L17" i="10" s="1"/>
  <c r="M17" i="10" s="1"/>
  <c r="F45" i="10"/>
  <c r="P45" i="10" s="1"/>
  <c r="F14" i="10"/>
  <c r="L14" i="10" s="1"/>
  <c r="M14" i="10" s="1"/>
  <c r="F19" i="10"/>
  <c r="L19" i="10" s="1"/>
  <c r="M19" i="10" s="1"/>
  <c r="F5" i="10"/>
  <c r="F43" i="10"/>
  <c r="L43" i="10" s="1"/>
  <c r="M43" i="10" s="1"/>
  <c r="F15" i="10"/>
  <c r="L15" i="10" s="1"/>
  <c r="M15" i="10" s="1"/>
  <c r="L6" i="10"/>
  <c r="M6" i="10" s="1"/>
  <c r="F37" i="10"/>
  <c r="L37" i="10" s="1"/>
  <c r="M37" i="10" s="1"/>
  <c r="F44" i="10"/>
  <c r="F30" i="10"/>
  <c r="L30" i="10" s="1"/>
  <c r="M30" i="10" s="1"/>
  <c r="F39" i="10"/>
  <c r="L39" i="10" s="1"/>
  <c r="M39" i="10" s="1"/>
  <c r="F32" i="10"/>
  <c r="L32" i="10" s="1"/>
  <c r="M32" i="10" s="1"/>
  <c r="F40" i="10"/>
  <c r="L40" i="10" s="1"/>
  <c r="M40" i="10" s="1"/>
  <c r="F10" i="10"/>
  <c r="L10" i="10" s="1"/>
  <c r="M10" i="10" s="1"/>
  <c r="F9" i="10"/>
  <c r="L9" i="10" s="1"/>
  <c r="M9" i="10" s="1"/>
  <c r="F33" i="10"/>
  <c r="L33" i="10" s="1"/>
  <c r="M33" i="10" s="1"/>
  <c r="F36" i="10"/>
  <c r="L36" i="10" s="1"/>
  <c r="M36" i="10" s="1"/>
  <c r="F29" i="10"/>
  <c r="F22" i="10"/>
  <c r="L22" i="10" s="1"/>
  <c r="M22" i="10" s="1"/>
  <c r="I41" i="10"/>
  <c r="F20" i="10"/>
  <c r="L20" i="10" s="1"/>
  <c r="M20" i="10" s="1"/>
  <c r="F38" i="10"/>
  <c r="L38" i="10" s="1"/>
  <c r="M38" i="10" s="1"/>
  <c r="I28" i="10"/>
  <c r="F18" i="10"/>
  <c r="L18" i="10" s="1"/>
  <c r="M18" i="10" s="1"/>
  <c r="I17" i="10"/>
  <c r="I36" i="10"/>
  <c r="F13" i="10"/>
  <c r="L13" i="10" s="1"/>
  <c r="M13" i="10" s="1"/>
  <c r="I15" i="10"/>
  <c r="I27" i="10"/>
  <c r="I7" i="10"/>
  <c r="I31" i="10"/>
  <c r="F7" i="10"/>
  <c r="L7" i="10" s="1"/>
  <c r="M7" i="10" s="1"/>
  <c r="I18" i="10"/>
  <c r="F8" i="10"/>
  <c r="L8" i="10" s="1"/>
  <c r="M8" i="10" s="1"/>
  <c r="I6" i="10"/>
  <c r="AJ28" i="1"/>
  <c r="L44" i="10" l="1"/>
  <c r="M44" i="10" s="1"/>
  <c r="P44" i="10"/>
  <c r="L29" i="10"/>
  <c r="M29" i="10" s="1"/>
  <c r="P29" i="10"/>
  <c r="P28" i="10"/>
  <c r="L27" i="10"/>
  <c r="N28" i="10" s="1"/>
  <c r="L5" i="10"/>
  <c r="M5" i="10" s="1"/>
  <c r="P5" i="10" s="1"/>
  <c r="P22" i="10"/>
  <c r="L45" i="10"/>
  <c r="M45" i="10" s="1"/>
  <c r="P6" i="10"/>
  <c r="N5" i="10"/>
  <c r="M4" i="10"/>
  <c r="AJ8" i="1"/>
  <c r="AJ23" i="1"/>
  <c r="M27" i="10" l="1"/>
  <c r="P27" i="10" s="1"/>
  <c r="O4" i="10"/>
  <c r="P4" i="10"/>
  <c r="Q4" i="10" s="1"/>
  <c r="O5" i="10"/>
  <c r="N6" i="10"/>
  <c r="O28" i="10"/>
  <c r="N29" i="10"/>
  <c r="O27" i="10"/>
  <c r="Q27" i="10"/>
  <c r="AJ12" i="1"/>
  <c r="Q5" i="10" l="1"/>
  <c r="O6" i="10"/>
  <c r="N7" i="10"/>
  <c r="Q28" i="10"/>
  <c r="N30" i="10"/>
  <c r="O29" i="10"/>
  <c r="AN25" i="1"/>
  <c r="AN23" i="1"/>
  <c r="AN19" i="1"/>
  <c r="AN22" i="1"/>
  <c r="AN21" i="1"/>
  <c r="AN24" i="1"/>
  <c r="AN20" i="1"/>
  <c r="AN18" i="1"/>
  <c r="AJ33" i="1"/>
  <c r="AM5" i="1"/>
  <c r="C23" i="2" s="1"/>
  <c r="AT8" i="1"/>
  <c r="AT9" i="1"/>
  <c r="AV9" i="1"/>
  <c r="AN7" i="1"/>
  <c r="AP7" i="1"/>
  <c r="AV8" i="1"/>
  <c r="AS13" i="1"/>
  <c r="AP13" i="1"/>
  <c r="AP12" i="1"/>
  <c r="AM13" i="1"/>
  <c r="AR8" i="1"/>
  <c r="AS8" i="1"/>
  <c r="AO11" i="1"/>
  <c r="AM9" i="1"/>
  <c r="AT11" i="1"/>
  <c r="AO7" i="1"/>
  <c r="AM12" i="1"/>
  <c r="AR7" i="1"/>
  <c r="AR12" i="1"/>
  <c r="AP11" i="1"/>
  <c r="AP8" i="1"/>
  <c r="AS9" i="1"/>
  <c r="AO9" i="1"/>
  <c r="AR10" i="1"/>
  <c r="AV11" i="1"/>
  <c r="AO8" i="1"/>
  <c r="AN10" i="1"/>
  <c r="AV7" i="1"/>
  <c r="AT13" i="1"/>
  <c r="AM7" i="1"/>
  <c r="AO13" i="1"/>
  <c r="AR9" i="1"/>
  <c r="AS10" i="1"/>
  <c r="AO10" i="1"/>
  <c r="AN11" i="1"/>
  <c r="AM10" i="1"/>
  <c r="AM8" i="1"/>
  <c r="AR13" i="1"/>
  <c r="AM11" i="1"/>
  <c r="AV10" i="1"/>
  <c r="AS11" i="1"/>
  <c r="AV12" i="1"/>
  <c r="AR11" i="1"/>
  <c r="AN8" i="1"/>
  <c r="AN9" i="1"/>
  <c r="AT12" i="1"/>
  <c r="AT10" i="1"/>
  <c r="AS12" i="1"/>
  <c r="AO12" i="1"/>
  <c r="AP10" i="1"/>
  <c r="AT7" i="1"/>
  <c r="AS7" i="1"/>
  <c r="AN12" i="1"/>
  <c r="AN13" i="1"/>
  <c r="AV13" i="1"/>
  <c r="AP9" i="1"/>
  <c r="O30" i="10" l="1"/>
  <c r="N31" i="10"/>
  <c r="Q29" i="10"/>
  <c r="N8" i="10"/>
  <c r="Q6" i="10"/>
  <c r="O7" i="10"/>
  <c r="N32" i="10" l="1"/>
  <c r="O31" i="10"/>
  <c r="O8" i="10"/>
  <c r="N9" i="10"/>
  <c r="P30" i="10" l="1"/>
  <c r="N33" i="10"/>
  <c r="O32" i="10"/>
  <c r="P31" i="10" s="1"/>
  <c r="O9" i="10"/>
  <c r="N10" i="10"/>
  <c r="Q30" i="10"/>
  <c r="P7" i="10"/>
  <c r="Q7" i="10" s="1"/>
  <c r="O10" i="10" l="1"/>
  <c r="P9" i="10" s="1"/>
  <c r="Q9" i="10" s="1"/>
  <c r="N11" i="10"/>
  <c r="Q31" i="10"/>
  <c r="N34" i="10"/>
  <c r="O33" i="10"/>
  <c r="P8" i="10"/>
  <c r="Q8" i="10" s="1"/>
  <c r="P32" i="10" l="1"/>
  <c r="Q32" i="10" s="1"/>
  <c r="O34" i="10"/>
  <c r="P33" i="10" s="1"/>
  <c r="Q33" i="10" s="1"/>
  <c r="N35" i="10"/>
  <c r="N12" i="10"/>
  <c r="O11" i="10"/>
  <c r="P10" i="10" l="1"/>
  <c r="Q10" i="10" s="1"/>
  <c r="O12" i="10"/>
  <c r="N13" i="10"/>
  <c r="O35" i="10"/>
  <c r="N36" i="10"/>
  <c r="N37" i="10" l="1"/>
  <c r="O36" i="10"/>
  <c r="P34" i="10"/>
  <c r="Q34" i="10" s="1"/>
  <c r="P11" i="10"/>
  <c r="Q11" i="10" s="1"/>
  <c r="O13" i="10"/>
  <c r="N14" i="10"/>
  <c r="P35" i="10" l="1"/>
  <c r="Q35" i="10" s="1"/>
  <c r="P12" i="10"/>
  <c r="Q12" i="10" s="1"/>
  <c r="O14" i="10"/>
  <c r="N15" i="10"/>
  <c r="O37" i="10"/>
  <c r="N38" i="10"/>
  <c r="O38" i="10" l="1"/>
  <c r="P37" i="10" s="1"/>
  <c r="Q37" i="10" s="1"/>
  <c r="N39" i="10"/>
  <c r="P36" i="10"/>
  <c r="Q36" i="10" s="1"/>
  <c r="O15" i="10"/>
  <c r="P14" i="10" s="1"/>
  <c r="Q14" i="10" s="1"/>
  <c r="N16" i="10"/>
  <c r="P13" i="10"/>
  <c r="Q13" i="10" s="1"/>
  <c r="O39" i="10" l="1"/>
  <c r="N40" i="10"/>
  <c r="N17" i="10"/>
  <c r="O16" i="10"/>
  <c r="O17" i="10" l="1"/>
  <c r="P16" i="10" s="1"/>
  <c r="Q16" i="10" s="1"/>
  <c r="N18" i="10"/>
  <c r="P38" i="10"/>
  <c r="Q38" i="10" s="1"/>
  <c r="N41" i="10"/>
  <c r="O40" i="10"/>
  <c r="P15" i="10"/>
  <c r="Q15" i="10" s="1"/>
  <c r="N42" i="10" l="1"/>
  <c r="O41" i="10"/>
  <c r="P40" i="10" s="1"/>
  <c r="Q40" i="10" s="1"/>
  <c r="O18" i="10"/>
  <c r="P17" i="10" s="1"/>
  <c r="Q17" i="10" s="1"/>
  <c r="N19" i="10"/>
  <c r="P39" i="10"/>
  <c r="Q39" i="10" s="1"/>
  <c r="O19" i="10" l="1"/>
  <c r="N20" i="10"/>
  <c r="N43" i="10"/>
  <c r="O42" i="10"/>
  <c r="P41" i="10" l="1"/>
  <c r="Q41" i="10" s="1"/>
  <c r="O43" i="10"/>
  <c r="P42" i="10" s="1"/>
  <c r="Q42" i="10" s="1"/>
  <c r="N44" i="10"/>
  <c r="O20" i="10"/>
  <c r="P19" i="10" s="1"/>
  <c r="Q19" i="10" s="1"/>
  <c r="N21" i="10"/>
  <c r="P18" i="10"/>
  <c r="Q18" i="10" s="1"/>
  <c r="O21" i="10" l="1"/>
  <c r="P20" i="10" s="1"/>
  <c r="Q20" i="10" s="1"/>
  <c r="N22" i="10"/>
  <c r="O44" i="10"/>
  <c r="N45" i="10"/>
  <c r="Q45" i="10" s="1"/>
  <c r="P43" i="10" l="1"/>
  <c r="Q43" i="10" s="1"/>
  <c r="Q22" i="10"/>
  <c r="Q21" i="10"/>
  <c r="O22" i="10"/>
  <c r="Q44" i="10"/>
  <c r="O45" i="10"/>
  <c r="R45" i="10" s="1"/>
  <c r="R22" i="10" l="1"/>
  <c r="R21" i="10"/>
  <c r="S22" i="10"/>
  <c r="T22" i="10" s="1"/>
  <c r="R44" i="10"/>
  <c r="S45" i="10"/>
  <c r="T45" i="10" s="1"/>
  <c r="R43" i="10" l="1"/>
  <c r="S44" i="10"/>
  <c r="T44" i="10" s="1"/>
  <c r="R20" i="10"/>
  <c r="S21" i="10"/>
  <c r="T21" i="10" s="1"/>
  <c r="S43" i="10" l="1"/>
  <c r="T43" i="10" s="1"/>
  <c r="R42" i="10"/>
  <c r="R19" i="10"/>
  <c r="S20" i="10"/>
  <c r="T20" i="10" s="1"/>
  <c r="R18" i="10" l="1"/>
  <c r="S19" i="10"/>
  <c r="T19" i="10" s="1"/>
  <c r="S42" i="10"/>
  <c r="T42" i="10" s="1"/>
  <c r="R41" i="10"/>
  <c r="R40" i="10" l="1"/>
  <c r="S41" i="10"/>
  <c r="T41" i="10" s="1"/>
  <c r="R17" i="10"/>
  <c r="S18" i="10"/>
  <c r="T18" i="10" s="1"/>
  <c r="S17" i="10" l="1"/>
  <c r="T17" i="10" s="1"/>
  <c r="R16" i="10"/>
  <c r="S40" i="10"/>
  <c r="T40" i="10" s="1"/>
  <c r="R39" i="10"/>
  <c r="R38" i="10" l="1"/>
  <c r="S39" i="10"/>
  <c r="T39" i="10" s="1"/>
  <c r="S16" i="10"/>
  <c r="T16" i="10" s="1"/>
  <c r="R15" i="10"/>
  <c r="R14" i="10" l="1"/>
  <c r="S15" i="10"/>
  <c r="T15" i="10" s="1"/>
  <c r="R37" i="10"/>
  <c r="S38" i="10"/>
  <c r="T38" i="10" s="1"/>
  <c r="R36" i="10" l="1"/>
  <c r="S37" i="10"/>
  <c r="T37" i="10" s="1"/>
  <c r="S14" i="10"/>
  <c r="T14" i="10" s="1"/>
  <c r="R13" i="10"/>
  <c r="R12" i="10" l="1"/>
  <c r="S13" i="10"/>
  <c r="T13" i="10" s="1"/>
  <c r="R35" i="10"/>
  <c r="S36" i="10"/>
  <c r="T36" i="10" s="1"/>
  <c r="S12" i="10" l="1"/>
  <c r="T12" i="10" s="1"/>
  <c r="R11" i="10"/>
  <c r="S35" i="10"/>
  <c r="T35" i="10" s="1"/>
  <c r="R34" i="10"/>
  <c r="S34" i="10" l="1"/>
  <c r="T34" i="10" s="1"/>
  <c r="R33" i="10"/>
  <c r="R10" i="10"/>
  <c r="S11" i="10"/>
  <c r="T11" i="10" s="1"/>
  <c r="S10" i="10" l="1"/>
  <c r="T10" i="10" s="1"/>
  <c r="R9" i="10"/>
  <c r="R32" i="10"/>
  <c r="S33" i="10"/>
  <c r="T33" i="10" s="1"/>
  <c r="R8" i="10" l="1"/>
  <c r="S9" i="10"/>
  <c r="T9" i="10" s="1"/>
  <c r="R31" i="10"/>
  <c r="S32" i="10"/>
  <c r="T32" i="10" s="1"/>
  <c r="R30" i="10" l="1"/>
  <c r="S31" i="10"/>
  <c r="T31" i="10" s="1"/>
  <c r="R7" i="10"/>
  <c r="S8" i="10"/>
  <c r="T8" i="10" s="1"/>
  <c r="S7" i="10" l="1"/>
  <c r="T7" i="10" s="1"/>
  <c r="R6" i="10"/>
  <c r="S30" i="10"/>
  <c r="T30" i="10" s="1"/>
  <c r="R29" i="10"/>
  <c r="S29" i="10" l="1"/>
  <c r="T29" i="10" s="1"/>
  <c r="R28" i="10"/>
  <c r="R5" i="10"/>
  <c r="S6" i="10"/>
  <c r="T6" i="10" s="1"/>
  <c r="R4" i="10" l="1"/>
  <c r="S5" i="10"/>
  <c r="T5" i="10" s="1"/>
  <c r="R27" i="10"/>
  <c r="S28" i="10"/>
  <c r="T28" i="10" s="1"/>
  <c r="S27" i="10" l="1"/>
  <c r="W32" i="10"/>
  <c r="W33" i="10" s="1"/>
  <c r="W9" i="10"/>
  <c r="W10" i="10" s="1"/>
  <c r="S4" i="10"/>
  <c r="T4" i="10" l="1"/>
  <c r="AA27" i="10"/>
  <c r="AA29" i="10" s="1"/>
  <c r="T27" i="10"/>
  <c r="AB27" i="10"/>
  <c r="AB29" i="10" s="1"/>
</calcChain>
</file>

<file path=xl/sharedStrings.xml><?xml version="1.0" encoding="utf-8"?>
<sst xmlns="http://schemas.openxmlformats.org/spreadsheetml/2006/main" count="2166" uniqueCount="181">
  <si>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</si>
  <si>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</si>
  <si>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</si>
  <si>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</si>
  <si>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</si>
  <si>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</si>
  <si>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</si>
  <si>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</si>
  <si>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</si>
  <si>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</si>
  <si>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</si>
  <si>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</si>
  <si>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</si>
  <si>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</si>
  <si>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</si>
  <si>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</si>
  <si>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</si>
  <si>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</si>
  <si>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</si>
  <si>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</si>
  <si>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</si>
  <si>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</si>
  <si>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</si>
  <si>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</si>
  <si>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</si>
  <si>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</si>
  <si>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</si>
  <si>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</si>
  <si>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</si>
  <si>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</si>
  <si>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</si>
  <si>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</si>
  <si>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</si>
  <si>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</si>
  <si>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</si>
  <si>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</si>
  <si>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</si>
  <si>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</si>
  <si>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</si>
  <si>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</si>
  <si>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</si>
  <si>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</si>
  <si>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</si>
  <si>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</si>
  <si>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</si>
  <si>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</si>
  <si>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</si>
  <si>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</si>
  <si>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</si>
  <si>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</si>
  <si>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</si>
  <si>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</si>
  <si>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</si>
  <si>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</si>
  <si>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</si>
  <si>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</si>
  <si>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</si>
  <si>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</si>
  <si>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</si>
  <si>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</si>
  <si>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</si>
  <si>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</si>
  <si>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</si>
  <si>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</si>
  <si>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</si>
  <si>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</si>
  <si>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</si>
  <si>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</si>
  <si>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</si>
  <si>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</si>
  <si>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</si>
  <si>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</si>
  <si>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</si>
  <si>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</si>
  <si>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</si>
  <si>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</si>
  <si>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</si>
  <si>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</si>
  <si>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</si>
  <si>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</si>
  <si>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</si>
  <si>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</si>
  <si>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</si>
  <si>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</si>
  <si>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</si>
  <si>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</si>
  <si>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</si>
  <si>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</si>
  <si>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</si>
  <si>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</si>
  <si>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</si>
  <si>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</si>
  <si>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</si>
  <si>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</si>
  <si>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</si>
  <si>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</si>
  <si>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</si>
  <si>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</si>
  <si>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</si>
  <si>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</si>
  <si>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</si>
  <si>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</si>
  <si>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</si>
  <si>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</si>
  <si>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</si>
  <si>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</si>
  <si>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</si>
  <si>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</si>
  <si>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</si>
  <si>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</si>
  <si>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</si>
  <si>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</si>
  <si>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</si>
  <si>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</si>
  <si>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</si>
  <si>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</si>
  <si>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</si>
  <si>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</si>
  <si>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</si>
  <si>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</si>
  <si>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</si>
  <si>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</si>
  <si>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</si>
  <si>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</si>
  <si>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</si>
  <si>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</si>
  <si>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</si>
  <si>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1e+05</t>
  </si>
  <si>
    <t>NA</t>
  </si>
  <si>
    <t>f</t>
  </si>
  <si>
    <t>Sin homicidios</t>
  </si>
  <si>
    <t>Con homicidios</t>
  </si>
  <si>
    <t>803</t>
  </si>
  <si>
    <t>153</t>
  </si>
  <si>
    <t>82</t>
  </si>
  <si>
    <t>109</t>
  </si>
  <si>
    <t>483</t>
  </si>
  <si>
    <t>851</t>
  </si>
  <si>
    <t>1,008</t>
  </si>
  <si>
    <t>1,042</t>
  </si>
  <si>
    <t>1,030</t>
  </si>
  <si>
    <t>1,198</t>
  </si>
  <si>
    <t>1,475</t>
  </si>
  <si>
    <t>1,546</t>
  </si>
  <si>
    <t>1,877</t>
  </si>
  <si>
    <t>2,170</t>
  </si>
  <si>
    <t>2,313</t>
  </si>
  <si>
    <t>2,651</t>
  </si>
  <si>
    <t>2,803</t>
  </si>
  <si>
    <t>2,586</t>
  </si>
  <si>
    <t>4,166</t>
  </si>
  <si>
    <t>600</t>
  </si>
  <si>
    <t>105</t>
  </si>
  <si>
    <t>63</t>
  </si>
  <si>
    <t>75</t>
  </si>
  <si>
    <t>166</t>
  </si>
  <si>
    <t>222</t>
  </si>
  <si>
    <t>246</t>
  </si>
  <si>
    <t>284</t>
  </si>
  <si>
    <t>355</t>
  </si>
  <si>
    <t>502</t>
  </si>
  <si>
    <t>611</t>
  </si>
  <si>
    <t>918</t>
  </si>
  <si>
    <t>1,179</t>
  </si>
  <si>
    <t>1,636</t>
  </si>
  <si>
    <t>1,953</t>
  </si>
  <si>
    <t>2,080</t>
  </si>
  <si>
    <t>2,346</t>
  </si>
  <si>
    <t>2,565</t>
  </si>
  <si>
    <t>5,518</t>
  </si>
  <si>
    <r>
      <t>R</t>
    </r>
    <r>
      <rPr>
        <vertAlign val="superscript"/>
        <sz val="14"/>
        <color theme="1"/>
        <rFont val="Calibri"/>
        <family val="2"/>
        <scheme val="minor"/>
      </rPr>
      <t>-i</t>
    </r>
  </si>
  <si>
    <t>npx</t>
  </si>
  <si>
    <t>nax</t>
  </si>
  <si>
    <r>
      <t>*ex</t>
    </r>
    <r>
      <rPr>
        <vertAlign val="superscript"/>
        <sz val="14"/>
        <rFont val="Calibri"/>
        <family val="2"/>
      </rPr>
      <t xml:space="preserve"> 0</t>
    </r>
  </si>
  <si>
    <r>
      <t xml:space="preserve">*npx </t>
    </r>
    <r>
      <rPr>
        <vertAlign val="superscript"/>
        <sz val="14"/>
        <color rgb="FF000000"/>
        <rFont val="Calibri"/>
        <family val="2"/>
      </rPr>
      <t>-1</t>
    </r>
  </si>
  <si>
    <r>
      <t>*nqx</t>
    </r>
    <r>
      <rPr>
        <vertAlign val="superscript"/>
        <sz val="14"/>
        <color rgb="FF000000"/>
        <rFont val="Calibri"/>
        <family val="2"/>
      </rPr>
      <t xml:space="preserve"> -i</t>
    </r>
  </si>
  <si>
    <r>
      <t xml:space="preserve">*lx </t>
    </r>
    <r>
      <rPr>
        <vertAlign val="superscript"/>
        <sz val="14"/>
        <color rgb="FF000000"/>
        <rFont val="Calibri"/>
        <family val="2"/>
      </rPr>
      <t>-1</t>
    </r>
  </si>
  <si>
    <r>
      <t xml:space="preserve">ndx </t>
    </r>
    <r>
      <rPr>
        <vertAlign val="superscript"/>
        <sz val="14"/>
        <color rgb="FF000000"/>
        <rFont val="Calibri"/>
        <family val="2"/>
      </rPr>
      <t>-i</t>
    </r>
  </si>
  <si>
    <r>
      <t>*nax</t>
    </r>
    <r>
      <rPr>
        <vertAlign val="superscript"/>
        <sz val="14"/>
        <color rgb="FF000000"/>
        <rFont val="Calibri"/>
        <family val="2"/>
      </rPr>
      <t xml:space="preserve"> -1</t>
    </r>
  </si>
  <si>
    <t>nLx</t>
  </si>
  <si>
    <r>
      <t>*ex</t>
    </r>
    <r>
      <rPr>
        <vertAlign val="superscript"/>
        <sz val="14"/>
        <rFont val="Calibri"/>
        <family val="2"/>
      </rPr>
      <t xml:space="preserve"> 0</t>
    </r>
    <r>
      <rPr>
        <sz val="14"/>
        <rFont val="Calibri"/>
        <family val="2"/>
      </rPr>
      <t xml:space="preserve">  </t>
    </r>
    <r>
      <rPr>
        <vertAlign val="superscript"/>
        <sz val="14"/>
        <rFont val="Calibri"/>
        <family val="2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</si>
</sst>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  <numFmt numFmtId="173" formatCode="##"/>
  </numFmts>
  <fonts count="3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4"/>
      <color rgb="FF000000"/>
      <name val="Georgia"/>
      <family val="1"/>
    </font>
    <font>
      <sz val="14"/>
      <color rgb="FF000000"/>
      <name val="Calibri"/>
      <family val="2"/>
    </font>
    <font>
      <sz val="14"/>
      <name val="Calibri"/>
      <family val="2"/>
    </font>
    <font>
      <vertAlign val="superscript"/>
      <sz val="14"/>
      <name val="Calibri"/>
      <family val="2"/>
    </font>
    <font>
      <vertAlign val="superscript"/>
      <sz val="14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2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8" xfId="0" applyNumberFormat="1" applyFont="1" applyBorder="1"/>
    <xf numFmtId="2" fontId="22" fillId="0" borderId="7" xfId="0" applyNumberFormat="1" applyFon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72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0" fillId="0" borderId="5" xfId="0" applyNumberFormat="1" applyFont="1" applyBorder="1"/>
    <xf numFmtId="2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164" fontId="22" fillId="8" borderId="7" xfId="0" applyNumberFormat="1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0" fontId="22" fillId="8" borderId="7" xfId="0" applyFont="1" applyFill="1" applyBorder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164" fontId="22" fillId="10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5" fillId="12" borderId="0" xfId="0" applyNumberFormat="1" applyFont="1" applyFill="1" applyAlignment="1">
      <alignment horizontal="center"/>
    </xf>
    <xf numFmtId="2" fontId="25" fillId="13" borderId="0" xfId="0" applyNumberFormat="1" applyFont="1" applyFill="1" applyAlignment="1">
      <alignment horizontal="center"/>
    </xf>
    <xf numFmtId="2" fontId="25" fillId="14" borderId="0" xfId="0" applyNumberFormat="1" applyFont="1" applyFill="1" applyAlignment="1">
      <alignment horizontal="center"/>
    </xf>
    <xf numFmtId="2" fontId="25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0" fillId="0" borderId="0" xfId="0" quotePrefix="1"/>
    <xf numFmtId="0" fontId="0" fillId="13" borderId="0" xfId="0" quotePrefix="1" applyFill="1"/>
    <xf numFmtId="0" fontId="0" fillId="10" borderId="0" xfId="0" quotePrefix="1" applyFill="1"/>
    <xf numFmtId="0" fontId="20" fillId="0" borderId="28" xfId="0" applyFont="1" applyBorder="1"/>
    <xf numFmtId="173" fontId="0" fillId="13" borderId="0" xfId="0" applyNumberFormat="1" applyFill="1" applyAlignment="1">
      <alignment horizontal="left" vertical="top"/>
    </xf>
    <xf numFmtId="173" fontId="0" fillId="10" borderId="0" xfId="0" applyNumberFormat="1" applyFill="1" applyAlignment="1">
      <alignment horizontal="left" vertical="top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6" fillId="0" borderId="2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0" xfId="0" applyFont="1"/>
  </cellXfs>
  <cellStyles count="6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1.1206000000000049E-2</c:v>
                </c:pt>
                <c:pt idx="1">
                  <c:v>2.0940000000000403E-3</c:v>
                </c:pt>
                <c:pt idx="2">
                  <c:v>1.0639999999999539E-3</c:v>
                </c:pt>
                <c:pt idx="3">
                  <c:v>1.2100000000000444E-3</c:v>
                </c:pt>
                <c:pt idx="4">
                  <c:v>2.3159999999999847E-3</c:v>
                </c:pt>
                <c:pt idx="5">
                  <c:v>3.0310000000000059E-3</c:v>
                </c:pt>
                <c:pt idx="6">
                  <c:v>3.6869999999999958E-3</c:v>
                </c:pt>
                <c:pt idx="7">
                  <c:v>4.438000000000053E-3</c:v>
                </c:pt>
                <c:pt idx="8">
                  <c:v>5.9169999999999501E-3</c:v>
                </c:pt>
                <c:pt idx="9">
                  <c:v>8.7890000000000468E-3</c:v>
                </c:pt>
                <c:pt idx="10">
                  <c:v>1.3494000000000006E-2</c:v>
                </c:pt>
                <c:pt idx="11">
                  <c:v>2.0159000000000038E-2</c:v>
                </c:pt>
                <c:pt idx="12">
                  <c:v>3.3218999999999999E-2</c:v>
                </c:pt>
                <c:pt idx="13">
                  <c:v>4.8167999999999989E-2</c:v>
                </c:pt>
                <c:pt idx="14">
                  <c:v>7.1137000000000006E-2</c:v>
                </c:pt>
                <c:pt idx="15">
                  <c:v>0.10592199999999996</c:v>
                </c:pt>
                <c:pt idx="16">
                  <c:v>0.16873800000000005</c:v>
                </c:pt>
                <c:pt idx="17">
                  <c:v>0.26314300000000002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*nqx -i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1.116885604593687E-2</c:v>
                </c:pt>
                <c:pt idx="1">
                  <c:v>2.014308968648959E-3</c:v>
                </c:pt>
                <c:pt idx="2">
                  <c:v>1.0133590139878024E-3</c:v>
                </c:pt>
                <c:pt idx="3">
                  <c:v>1.129378902719913E-3</c:v>
                </c:pt>
                <c:pt idx="4">
                  <c:v>1.9675482001795253E-3</c:v>
                </c:pt>
                <c:pt idx="5">
                  <c:v>2.5264720699783583E-3</c:v>
                </c:pt>
                <c:pt idx="6">
                  <c:v>3.2829943071537304E-3</c:v>
                </c:pt>
                <c:pt idx="7">
                  <c:v>4.0637208620651899E-3</c:v>
                </c:pt>
                <c:pt idx="8">
                  <c:v>5.534707979852227E-3</c:v>
                </c:pt>
                <c:pt idx="9">
                  <c:v>8.3182565732967673E-3</c:v>
                </c:pt>
                <c:pt idx="10">
                  <c:v>1.3252680831962071E-2</c:v>
                </c:pt>
                <c:pt idx="11">
                  <c:v>1.9919865476925813E-2</c:v>
                </c:pt>
                <c:pt idx="12">
                  <c:v>3.294193710127491E-2</c:v>
                </c:pt>
                <c:pt idx="13">
                  <c:v>4.8081830756847799E-2</c:v>
                </c:pt>
                <c:pt idx="14">
                  <c:v>7.0961498178630733E-2</c:v>
                </c:pt>
                <c:pt idx="15">
                  <c:v>0.10563319473181199</c:v>
                </c:pt>
                <c:pt idx="16">
                  <c:v>0.16860702144786011</c:v>
                </c:pt>
                <c:pt idx="17">
                  <c:v>0.26305527247357041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1.3946000000000014E-2</c:v>
                </c:pt>
                <c:pt idx="1">
                  <c:v>2.4039999999999617E-3</c:v>
                </c:pt>
                <c:pt idx="2">
                  <c:v>1.2339999999999574E-3</c:v>
                </c:pt>
                <c:pt idx="3">
                  <c:v>1.6850000000000476E-3</c:v>
                </c:pt>
                <c:pt idx="4">
                  <c:v>6.1419999999999808E-3</c:v>
                </c:pt>
                <c:pt idx="5">
                  <c:v>1.1511000000000049E-2</c:v>
                </c:pt>
                <c:pt idx="6">
                  <c:v>1.4440000000000008E-2</c:v>
                </c:pt>
                <c:pt idx="7">
                  <c:v>1.5490000000000004E-2</c:v>
                </c:pt>
                <c:pt idx="8">
                  <c:v>1.7660000000000009E-2</c:v>
                </c:pt>
                <c:pt idx="9">
                  <c:v>2.2155000000000036E-2</c:v>
                </c:pt>
                <c:pt idx="10">
                  <c:v>2.7981000000000034E-2</c:v>
                </c:pt>
                <c:pt idx="11">
                  <c:v>3.7038000000000015E-2</c:v>
                </c:pt>
                <c:pt idx="12">
                  <c:v>5.4463000000000039E-2</c:v>
                </c:pt>
                <c:pt idx="13">
                  <c:v>7.3455999999999966E-2</c:v>
                </c:pt>
                <c:pt idx="14">
                  <c:v>0.10043299999999999</c:v>
                </c:pt>
                <c:pt idx="15">
                  <c:v>0.14434199999999997</c:v>
                </c:pt>
                <c:pt idx="16">
                  <c:v>0.20918300000000001</c:v>
                </c:pt>
                <c:pt idx="17">
                  <c:v>0.31352200000000008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*nqx -i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1.3894261534458718E-2</c:v>
                </c:pt>
                <c:pt idx="1">
                  <c:v>2.294139333468892E-3</c:v>
                </c:pt>
                <c:pt idx="2">
                  <c:v>1.2039205639265971E-3</c:v>
                </c:pt>
                <c:pt idx="3">
                  <c:v>1.6541081534371394E-3</c:v>
                </c:pt>
                <c:pt idx="4">
                  <c:v>4.479895374076448E-3</c:v>
                </c:pt>
                <c:pt idx="5">
                  <c:v>7.1711523795164878E-3</c:v>
                </c:pt>
                <c:pt idx="6">
                  <c:v>9.2211744356793801E-3</c:v>
                </c:pt>
                <c:pt idx="7">
                  <c:v>1.0566007463518101E-2</c:v>
                </c:pt>
                <c:pt idx="8">
                  <c:v>1.3180570574502837E-2</c:v>
                </c:pt>
                <c:pt idx="9">
                  <c:v>1.8270474963258176E-2</c:v>
                </c:pt>
                <c:pt idx="10">
                  <c:v>2.466505739552316E-2</c:v>
                </c:pt>
                <c:pt idx="11">
                  <c:v>3.4896388379931254E-2</c:v>
                </c:pt>
                <c:pt idx="12">
                  <c:v>5.2966629655856079E-2</c:v>
                </c:pt>
                <c:pt idx="13">
                  <c:v>7.2282528315731787E-2</c:v>
                </c:pt>
                <c:pt idx="14">
                  <c:v>9.9856522954992366E-2</c:v>
                </c:pt>
                <c:pt idx="15">
                  <c:v>0.14378836107933235</c:v>
                </c:pt>
                <c:pt idx="16">
                  <c:v>0.20885186432304614</c:v>
                </c:pt>
                <c:pt idx="17">
                  <c:v>0.31342213192824087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74.395605841099609</c:v>
                </c:pt>
                <c:pt idx="1">
                  <c:v>79.603723917437193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73.03</c:v>
                </c:pt>
                <c:pt idx="1">
                  <c:v>79.37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41276</xdr:colOff>
      <xdr:row>2</xdr:row>
      <xdr:rowOff>9715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8EF7B9-BC5C-404C-A9F5-4670981F84E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4867f6e-649f-457c-8b99-0cd5b278c0e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85546875" defaultRowHeight="15.75" x14ac:dyDescent="0.25"/>
  <cols>
    <col min="1" max="1" width="4" customWidth="1"/>
    <col min="2" max="2" width="75.140625" customWidth="1"/>
    <col min="3" max="3" width="27.85546875" style="7" customWidth="1"/>
    <col min="4" max="5" width="8.42578125" style="7" customWidth="1"/>
    <col min="6" max="6" width="8.85546875" style="7" customWidth="1"/>
  </cols>
  <sheetData>
    <row r="1" spans="1:6" ht="41.25" customHeight="1" x14ac:dyDescent="0.25">
      <c r="A1" s="160" t="s">
        <v>78</v>
      </c>
      <c r="B1" s="161"/>
    </row>
    <row r="3" spans="1:6" x14ac:dyDescent="0.25">
      <c r="A3" s="11" t="s">
        <v>67</v>
      </c>
      <c r="B3" s="11"/>
    </row>
    <row r="4" spans="1:6" x14ac:dyDescent="0.25">
      <c r="A4" s="169" t="s">
        <v>91</v>
      </c>
      <c r="B4" s="170"/>
      <c r="C4" s="18"/>
    </row>
    <row r="5" spans="1:6" x14ac:dyDescent="0.25">
      <c r="A5" s="1"/>
      <c r="B5" s="2"/>
    </row>
    <row r="6" spans="1:6" ht="50.25" customHeight="1" x14ac:dyDescent="0.25">
      <c r="A6" s="162" t="s">
        <v>69</v>
      </c>
      <c r="B6" s="162"/>
    </row>
    <row r="7" spans="1:6" x14ac:dyDescent="0.25">
      <c r="A7" s="1"/>
      <c r="B7" s="2"/>
    </row>
    <row r="8" spans="1:6" ht="16.5" thickBot="1" x14ac:dyDescent="0.3">
      <c r="A8" s="3" t="s">
        <v>68</v>
      </c>
      <c r="B8" s="2"/>
    </row>
    <row r="9" spans="1:6" x14ac:dyDescent="0.25">
      <c r="A9" s="4">
        <v>1</v>
      </c>
      <c r="B9" s="5" t="s">
        <v>70</v>
      </c>
      <c r="C9" s="8" t="s">
        <v>50</v>
      </c>
      <c r="D9" s="150" t="s">
        <v>94</v>
      </c>
      <c r="E9" s="150"/>
      <c r="F9" s="151" t="s">
        <v>66</v>
      </c>
    </row>
    <row r="10" spans="1:6" x14ac:dyDescent="0.25">
      <c r="A10" s="6"/>
      <c r="B10" s="2"/>
      <c r="C10" s="9"/>
      <c r="D10" s="152"/>
      <c r="E10" s="152"/>
      <c r="F10" s="153"/>
    </row>
    <row r="11" spans="1:6" ht="16.5" thickBot="1" x14ac:dyDescent="0.3">
      <c r="A11" s="2">
        <v>2</v>
      </c>
      <c r="B11" s="2" t="s">
        <v>71</v>
      </c>
      <c r="C11" s="10" t="s">
        <v>49</v>
      </c>
      <c r="D11" s="154">
        <v>43891</v>
      </c>
      <c r="E11" s="154"/>
      <c r="F11" s="155">
        <v>39617</v>
      </c>
    </row>
    <row r="12" spans="1:6" x14ac:dyDescent="0.25">
      <c r="A12" s="6"/>
      <c r="B12" s="2"/>
    </row>
    <row r="13" spans="1:6" ht="16.5" thickBot="1" x14ac:dyDescent="0.3">
      <c r="A13" s="6"/>
      <c r="B13" s="2"/>
    </row>
    <row r="14" spans="1:6" ht="16.5" thickBot="1" x14ac:dyDescent="0.3">
      <c r="A14" s="5">
        <v>3</v>
      </c>
      <c r="B14" s="2" t="s">
        <v>77</v>
      </c>
      <c r="C14" s="12" t="s">
        <v>73</v>
      </c>
      <c r="D14" s="156" t="s">
        <v>26</v>
      </c>
      <c r="E14" s="156"/>
      <c r="F14" s="157"/>
    </row>
    <row r="16" spans="1:6" ht="16.5" thickBot="1" x14ac:dyDescent="0.3">
      <c r="D16" s="14"/>
      <c r="E16" s="14"/>
      <c r="F16" s="14"/>
    </row>
    <row r="17" spans="1:6" x14ac:dyDescent="0.25">
      <c r="A17" s="1">
        <v>4</v>
      </c>
      <c r="B17" s="2" t="s">
        <v>72</v>
      </c>
      <c r="C17" s="8" t="s">
        <v>74</v>
      </c>
      <c r="D17" s="158" t="s">
        <v>7</v>
      </c>
      <c r="E17" s="158"/>
      <c r="F17" s="159"/>
    </row>
    <row r="18" spans="1:6" x14ac:dyDescent="0.25">
      <c r="C18" s="9" t="s">
        <v>75</v>
      </c>
      <c r="D18" s="163" t="s">
        <v>44</v>
      </c>
      <c r="E18" s="163"/>
      <c r="F18" s="164"/>
    </row>
    <row r="19" spans="1:6" ht="7.5" customHeight="1" x14ac:dyDescent="0.25">
      <c r="C19" s="13"/>
      <c r="F19" s="17"/>
    </row>
    <row r="20" spans="1:6" x14ac:dyDescent="0.25">
      <c r="C20" s="15" t="s">
        <v>54</v>
      </c>
      <c r="D20" s="167" t="s">
        <v>57</v>
      </c>
      <c r="E20" s="167"/>
      <c r="F20" s="168"/>
    </row>
    <row r="21" spans="1:6" ht="16.5" thickBot="1" x14ac:dyDescent="0.3">
      <c r="C21" s="16" t="s">
        <v>61</v>
      </c>
      <c r="D21" s="165">
        <v>28</v>
      </c>
      <c r="E21" s="165"/>
      <c r="F21" s="166"/>
    </row>
    <row r="23" spans="1:6" ht="30.75" customHeight="1" x14ac:dyDescent="0.25">
      <c r="A23" s="25">
        <v>5</v>
      </c>
      <c r="B23" s="2" t="s">
        <v>92</v>
      </c>
      <c r="C23" s="149" t="str">
        <f>IF(ISNA(VLOOKUP(VALUE(RIGHT(Coefficients!AM5,3)),Coefficients!$AI$34:$AI$50,1,FALSE)),"INVALID SELECTION - Please ensure that your choice of variant; family and pattern are consistent.","")</f>
        <v/>
      </c>
      <c r="D23" s="149"/>
      <c r="E23" s="149"/>
      <c r="F23" s="149"/>
    </row>
    <row r="24" spans="1:6" x14ac:dyDescent="0.25">
      <c r="A24" s="1"/>
      <c r="B24" s="2"/>
      <c r="C24" s="19"/>
      <c r="D24" s="19"/>
      <c r="E24" s="19"/>
      <c r="F24" s="19"/>
    </row>
    <row r="25" spans="1:6" ht="30.75" x14ac:dyDescent="0.25">
      <c r="A25" s="25">
        <v>6</v>
      </c>
      <c r="B25" s="2" t="s">
        <v>93</v>
      </c>
      <c r="C25" s="19"/>
      <c r="D25" s="19"/>
      <c r="E25" s="19"/>
      <c r="F25" s="19"/>
    </row>
    <row r="26" spans="1:6" x14ac:dyDescent="0.25">
      <c r="A26" s="1"/>
      <c r="B26" s="2"/>
    </row>
    <row r="27" spans="1:6" x14ac:dyDescent="0.25">
      <c r="A27" s="3" t="s">
        <v>79</v>
      </c>
      <c r="B27" s="2"/>
    </row>
    <row r="28" spans="1:6" ht="30.75" x14ac:dyDescent="0.25">
      <c r="A28" s="1"/>
      <c r="B28" s="2" t="s">
        <v>80</v>
      </c>
    </row>
    <row r="29" spans="1:6" ht="31.5" x14ac:dyDescent="0.25">
      <c r="A29" s="1"/>
      <c r="B29" s="2" t="s">
        <v>81</v>
      </c>
    </row>
    <row r="30" spans="1:6" x14ac:dyDescent="0.25">
      <c r="A30" s="1"/>
      <c r="B30" s="2"/>
    </row>
    <row r="31" spans="1:6" x14ac:dyDescent="0.25">
      <c r="A31" s="1"/>
      <c r="B31" s="2"/>
    </row>
    <row r="32" spans="1:6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40625" defaultRowHeight="12.75" customHeight="1" x14ac:dyDescent="0.2"/>
  <cols>
    <col min="1" max="1" width="8.42578125" style="20" customWidth="1"/>
    <col min="2" max="2" width="3" style="20" bestFit="1" customWidth="1"/>
    <col min="3" max="6" width="8.42578125" style="20" customWidth="1"/>
    <col min="7" max="7" width="1.42578125" style="20" customWidth="1"/>
    <col min="8" max="10" width="8.42578125" style="20" customWidth="1"/>
    <col min="11" max="11" width="2.85546875" style="20" customWidth="1"/>
    <col min="12" max="12" width="8.42578125" style="20" bestFit="1" customWidth="1"/>
    <col min="13" max="13" width="3" style="20" bestFit="1" customWidth="1"/>
    <col min="14" max="16" width="8.42578125" style="20" customWidth="1"/>
    <col min="17" max="18" width="1.42578125" style="20" customWidth="1"/>
    <col min="19" max="21" width="8.42578125" style="20" customWidth="1"/>
    <col min="22" max="22" width="2.85546875" style="20" customWidth="1"/>
    <col min="23" max="23" width="8.42578125" style="20" bestFit="1" customWidth="1"/>
    <col min="24" max="24" width="3" style="20" bestFit="1" customWidth="1"/>
    <col min="25" max="27" width="8.42578125" style="20" customWidth="1"/>
    <col min="28" max="29" width="1.42578125" style="20" customWidth="1"/>
    <col min="30" max="32" width="8.42578125" style="20" customWidth="1"/>
    <col min="33" max="33" width="9.140625" style="20"/>
    <col min="34" max="34" width="3.140625" style="20" customWidth="1"/>
    <col min="35" max="35" width="22.85546875" style="20" bestFit="1" customWidth="1"/>
    <col min="36" max="36" width="9.140625" style="20"/>
    <col min="37" max="37" width="3.140625" style="20" customWidth="1"/>
    <col min="38" max="38" width="2" style="20" bestFit="1" customWidth="1"/>
    <col min="39" max="39" width="8.140625" style="20" customWidth="1"/>
    <col min="40" max="40" width="8.85546875" style="20" bestFit="1" customWidth="1"/>
    <col min="41" max="42" width="8.140625" style="20" customWidth="1"/>
    <col min="43" max="43" width="1.42578125" style="20" customWidth="1"/>
    <col min="44" max="46" width="8.140625" style="20" customWidth="1"/>
    <col min="47" max="16384" width="9.140625" style="20"/>
  </cols>
  <sheetData>
    <row r="1" spans="1:48" s="24" customFormat="1" ht="15" customHeight="1" x14ac:dyDescent="0.3">
      <c r="A1" s="171" t="s">
        <v>27</v>
      </c>
      <c r="B1" s="171"/>
      <c r="C1" s="171"/>
      <c r="D1" s="171"/>
      <c r="E1" s="171"/>
      <c r="F1" s="171"/>
      <c r="G1" s="171"/>
      <c r="H1" s="171"/>
      <c r="I1" s="171"/>
      <c r="J1" s="171"/>
      <c r="L1" s="171" t="s">
        <v>83</v>
      </c>
      <c r="M1" s="171"/>
      <c r="N1" s="171"/>
      <c r="O1" s="171"/>
      <c r="P1" s="171"/>
      <c r="Q1" s="171"/>
      <c r="R1" s="171"/>
      <c r="S1" s="171"/>
      <c r="T1" s="171"/>
      <c r="U1" s="171"/>
      <c r="W1" s="171" t="s">
        <v>84</v>
      </c>
      <c r="X1" s="171"/>
      <c r="Y1" s="171"/>
      <c r="Z1" s="171"/>
      <c r="AA1" s="171"/>
      <c r="AB1" s="171"/>
      <c r="AC1" s="171"/>
      <c r="AD1" s="171"/>
      <c r="AE1" s="171"/>
      <c r="AF1" s="171"/>
    </row>
    <row r="2" spans="1:48" s="24" customFormat="1" ht="15" customHeight="1" x14ac:dyDescent="0.3"/>
    <row r="3" spans="1:48" s="24" customFormat="1" ht="15" customHeight="1" x14ac:dyDescent="0.3">
      <c r="C3" s="171" t="s">
        <v>15</v>
      </c>
      <c r="D3" s="171"/>
      <c r="E3" s="171"/>
      <c r="H3" s="171" t="s">
        <v>16</v>
      </c>
      <c r="I3" s="171"/>
      <c r="J3" s="171"/>
      <c r="N3" s="171" t="s">
        <v>15</v>
      </c>
      <c r="O3" s="171"/>
      <c r="P3" s="171"/>
      <c r="S3" s="171" t="s">
        <v>16</v>
      </c>
      <c r="T3" s="171"/>
      <c r="U3" s="171"/>
      <c r="Y3" s="171" t="s">
        <v>15</v>
      </c>
      <c r="Z3" s="171"/>
      <c r="AA3" s="171"/>
      <c r="AD3" s="171" t="s">
        <v>16</v>
      </c>
      <c r="AE3" s="171"/>
      <c r="AF3" s="171"/>
    </row>
    <row r="4" spans="1:48" s="24" customFormat="1" ht="15" customHeight="1" x14ac:dyDescent="0.3">
      <c r="A4" s="171" t="s">
        <v>17</v>
      </c>
      <c r="B4" s="171"/>
      <c r="C4" s="171"/>
      <c r="D4" s="171"/>
      <c r="E4" s="171"/>
      <c r="F4" s="171"/>
      <c r="G4" s="171"/>
      <c r="H4" s="171"/>
      <c r="I4" s="171"/>
      <c r="J4" s="172"/>
      <c r="L4" s="34"/>
      <c r="M4" s="47"/>
      <c r="N4" s="174" t="s">
        <v>17</v>
      </c>
      <c r="O4" s="174"/>
      <c r="P4" s="174"/>
      <c r="Q4" s="174"/>
      <c r="R4" s="174"/>
      <c r="S4" s="174"/>
      <c r="T4" s="174"/>
      <c r="U4" s="175"/>
      <c r="W4" s="34"/>
      <c r="X4" s="47"/>
      <c r="Y4" s="174" t="s">
        <v>17</v>
      </c>
      <c r="Z4" s="174"/>
      <c r="AA4" s="174"/>
      <c r="AB4" s="174"/>
      <c r="AC4" s="174"/>
      <c r="AD4" s="174"/>
      <c r="AE4" s="174"/>
      <c r="AF4" s="175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3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73" t="str">
        <f>Introduction!D9&amp;" "&amp;TEXT(YEAR(Introduction!D11),"####")</f>
        <v>México 2020</v>
      </c>
      <c r="AI5" s="173"/>
      <c r="AJ5" s="173"/>
      <c r="AL5" s="20"/>
      <c r="AM5" s="171" t="str">
        <f>"Coeffs_"&amp;TEXT(100*AJ8+10*AJ12+AJ23,0)</f>
        <v>Coeffs_141</v>
      </c>
      <c r="AN5" s="171"/>
      <c r="AO5" s="171"/>
      <c r="AP5" s="171"/>
      <c r="AQ5" s="171"/>
      <c r="AR5" s="171"/>
      <c r="AS5" s="171"/>
      <c r="AT5" s="171"/>
      <c r="AU5" s="171"/>
      <c r="AV5" s="171"/>
    </row>
    <row r="6" spans="1:48" ht="12.75" customHeight="1" x14ac:dyDescent="0.2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3">
      <c r="A15" s="171" t="s">
        <v>18</v>
      </c>
      <c r="B15" s="171"/>
      <c r="C15" s="171"/>
      <c r="D15" s="171"/>
      <c r="E15" s="171"/>
      <c r="F15" s="171"/>
      <c r="G15" s="171"/>
      <c r="H15" s="171"/>
      <c r="I15" s="171"/>
      <c r="J15" s="172"/>
      <c r="K15" s="24"/>
      <c r="L15" s="35"/>
      <c r="M15" s="24"/>
      <c r="N15" s="171" t="s">
        <v>18</v>
      </c>
      <c r="O15" s="171"/>
      <c r="P15" s="171"/>
      <c r="Q15" s="171"/>
      <c r="R15" s="171"/>
      <c r="S15" s="171"/>
      <c r="T15" s="171"/>
      <c r="U15" s="172"/>
      <c r="V15" s="24"/>
      <c r="W15" s="35"/>
      <c r="X15" s="24"/>
      <c r="Y15" s="171" t="s">
        <v>18</v>
      </c>
      <c r="Z15" s="171"/>
      <c r="AA15" s="171"/>
      <c r="AB15" s="171"/>
      <c r="AC15" s="171"/>
      <c r="AD15" s="171"/>
      <c r="AE15" s="171"/>
      <c r="AF15" s="172"/>
      <c r="AG15" s="23"/>
      <c r="AH15" s="54"/>
      <c r="AI15" s="56" t="s">
        <v>43</v>
      </c>
      <c r="AJ15" s="54"/>
      <c r="AM15" s="171" t="s">
        <v>65</v>
      </c>
      <c r="AN15" s="171"/>
      <c r="AO15" s="24"/>
      <c r="AP15" s="28"/>
      <c r="AQ15" s="28"/>
      <c r="AR15" s="28"/>
      <c r="AS15" s="28"/>
      <c r="AT15" s="28"/>
    </row>
    <row r="16" spans="1:48" ht="12.75" customHeight="1" x14ac:dyDescent="0.3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3">
      <c r="A26" s="171" t="s">
        <v>19</v>
      </c>
      <c r="B26" s="171"/>
      <c r="C26" s="171"/>
      <c r="D26" s="171"/>
      <c r="E26" s="171"/>
      <c r="F26" s="171"/>
      <c r="G26" s="171"/>
      <c r="H26" s="171"/>
      <c r="I26" s="171"/>
      <c r="J26" s="172"/>
      <c r="K26" s="24"/>
      <c r="L26" s="35"/>
      <c r="M26" s="24"/>
      <c r="N26" s="171" t="s">
        <v>19</v>
      </c>
      <c r="O26" s="171"/>
      <c r="P26" s="171"/>
      <c r="Q26" s="171"/>
      <c r="R26" s="171"/>
      <c r="S26" s="171"/>
      <c r="T26" s="171"/>
      <c r="U26" s="172"/>
      <c r="V26" s="24"/>
      <c r="W26" s="35"/>
      <c r="X26" s="24"/>
      <c r="Y26" s="171" t="s">
        <v>19</v>
      </c>
      <c r="Z26" s="171"/>
      <c r="AA26" s="171"/>
      <c r="AB26" s="171"/>
      <c r="AC26" s="171"/>
      <c r="AD26" s="171"/>
      <c r="AE26" s="171"/>
      <c r="AF26" s="172"/>
      <c r="AH26" s="54"/>
      <c r="AI26" s="57" t="s">
        <v>36</v>
      </c>
      <c r="AJ26" s="54"/>
    </row>
    <row r="27" spans="1:46" ht="12.75" customHeight="1" x14ac:dyDescent="0.3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3">
      <c r="A37" s="171" t="s">
        <v>20</v>
      </c>
      <c r="B37" s="171"/>
      <c r="C37" s="171"/>
      <c r="D37" s="171"/>
      <c r="E37" s="171"/>
      <c r="F37" s="171"/>
      <c r="G37" s="171"/>
      <c r="H37" s="171"/>
      <c r="I37" s="171"/>
      <c r="J37" s="172"/>
      <c r="K37" s="24"/>
      <c r="L37" s="35"/>
      <c r="M37" s="24"/>
      <c r="N37" s="171" t="s">
        <v>20</v>
      </c>
      <c r="O37" s="171"/>
      <c r="P37" s="171"/>
      <c r="Q37" s="171"/>
      <c r="R37" s="171"/>
      <c r="S37" s="171"/>
      <c r="T37" s="171"/>
      <c r="U37" s="172"/>
      <c r="V37" s="24"/>
      <c r="W37" s="35"/>
      <c r="X37" s="24"/>
      <c r="Y37" s="171" t="s">
        <v>20</v>
      </c>
      <c r="Z37" s="171"/>
      <c r="AA37" s="171"/>
      <c r="AB37" s="171"/>
      <c r="AC37" s="171"/>
      <c r="AD37" s="171"/>
      <c r="AE37" s="171"/>
      <c r="AF37" s="172"/>
      <c r="AH37" s="54"/>
      <c r="AI37" s="56">
        <v>141</v>
      </c>
      <c r="AJ37" s="54"/>
    </row>
    <row r="38" spans="1:36" ht="12.75" customHeight="1" x14ac:dyDescent="0.3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">
      <c r="A46" s="36"/>
      <c r="J46" s="42"/>
      <c r="AH46" s="54"/>
      <c r="AI46" s="56">
        <v>142</v>
      </c>
      <c r="AJ46" s="54"/>
    </row>
    <row r="47" spans="1:36" ht="12.75" customHeight="1" x14ac:dyDescent="0.2">
      <c r="A47" s="36"/>
      <c r="J47" s="42"/>
      <c r="AH47" s="54"/>
      <c r="AI47" s="56">
        <v>113</v>
      </c>
      <c r="AJ47" s="54"/>
    </row>
    <row r="48" spans="1:36" ht="12.75" customHeight="1" x14ac:dyDescent="0.3">
      <c r="A48" s="171" t="s">
        <v>21</v>
      </c>
      <c r="B48" s="171"/>
      <c r="C48" s="171"/>
      <c r="D48" s="171"/>
      <c r="E48" s="171"/>
      <c r="F48" s="171"/>
      <c r="G48" s="171"/>
      <c r="H48" s="171"/>
      <c r="I48" s="171"/>
      <c r="J48" s="172"/>
      <c r="AH48" s="54"/>
      <c r="AI48" s="56">
        <v>123</v>
      </c>
      <c r="AJ48" s="54"/>
    </row>
    <row r="49" spans="1:36" ht="12.75" customHeight="1" x14ac:dyDescent="0.3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">
      <c r="A57" s="36"/>
      <c r="J57" s="42"/>
    </row>
    <row r="58" spans="1:36" ht="12.75" customHeight="1" x14ac:dyDescent="0.2">
      <c r="A58" s="36"/>
      <c r="J58" s="42"/>
    </row>
    <row r="59" spans="1:36" ht="12.75" customHeight="1" x14ac:dyDescent="0.3">
      <c r="A59" s="171" t="s">
        <v>22</v>
      </c>
      <c r="B59" s="171"/>
      <c r="C59" s="171" t="s">
        <v>22</v>
      </c>
      <c r="D59" s="171"/>
      <c r="E59" s="171"/>
      <c r="F59" s="171"/>
      <c r="G59" s="171"/>
      <c r="H59" s="171"/>
      <c r="I59" s="171"/>
      <c r="J59" s="172"/>
    </row>
    <row r="60" spans="1:36" ht="12.75" customHeight="1" x14ac:dyDescent="0.3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">
      <c r="A68" s="36"/>
      <c r="J68" s="42"/>
    </row>
    <row r="69" spans="1:10" ht="12.75" customHeight="1" x14ac:dyDescent="0.2">
      <c r="A69" s="36"/>
      <c r="J69" s="42"/>
    </row>
    <row r="70" spans="1:10" ht="12.75" customHeight="1" x14ac:dyDescent="0.3">
      <c r="A70" s="171" t="s">
        <v>23</v>
      </c>
      <c r="B70" s="171"/>
      <c r="C70" s="171"/>
      <c r="D70" s="171"/>
      <c r="E70" s="171"/>
      <c r="F70" s="171"/>
      <c r="G70" s="171"/>
      <c r="H70" s="171"/>
      <c r="I70" s="171"/>
      <c r="J70" s="172"/>
    </row>
    <row r="71" spans="1:10" ht="12.75" customHeight="1" x14ac:dyDescent="0.3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">
      <c r="A79" s="36"/>
      <c r="J79" s="42"/>
    </row>
    <row r="80" spans="1:10" ht="12.75" customHeight="1" x14ac:dyDescent="0.2">
      <c r="A80" s="36"/>
      <c r="J80" s="42"/>
    </row>
    <row r="81" spans="1:10" ht="12.75" customHeight="1" x14ac:dyDescent="0.3">
      <c r="A81" s="171" t="s">
        <v>24</v>
      </c>
      <c r="B81" s="171"/>
      <c r="C81" s="171"/>
      <c r="D81" s="171"/>
      <c r="E81" s="171"/>
      <c r="F81" s="171"/>
      <c r="G81" s="171"/>
      <c r="H81" s="171"/>
      <c r="I81" s="171"/>
      <c r="J81" s="172"/>
    </row>
    <row r="82" spans="1:10" ht="12.75" customHeight="1" x14ac:dyDescent="0.3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">
      <c r="A90" s="36"/>
      <c r="J90" s="42"/>
    </row>
    <row r="91" spans="1:10" ht="12.75" customHeight="1" x14ac:dyDescent="0.2">
      <c r="A91" s="36"/>
      <c r="J91" s="42"/>
    </row>
    <row r="92" spans="1:10" ht="12.75" customHeight="1" x14ac:dyDescent="0.3">
      <c r="A92" s="171" t="s">
        <v>25</v>
      </c>
      <c r="B92" s="171"/>
      <c r="C92" s="171"/>
      <c r="D92" s="171"/>
      <c r="E92" s="171"/>
      <c r="F92" s="171"/>
      <c r="G92" s="171"/>
      <c r="H92" s="171"/>
      <c r="I92" s="171"/>
      <c r="J92" s="172"/>
    </row>
    <row r="93" spans="1:10" ht="12.75" customHeight="1" x14ac:dyDescent="0.3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40625" defaultRowHeight="12.75" x14ac:dyDescent="0.2"/>
  <cols>
    <col min="1" max="1" width="10.140625" style="20" customWidth="1"/>
    <col min="2" max="30" width="10" style="20" customWidth="1"/>
    <col min="31" max="16384" width="9.140625" style="20"/>
  </cols>
  <sheetData>
    <row r="1" spans="1:28" x14ac:dyDescent="0.2">
      <c r="A1" s="20" t="s">
        <v>52</v>
      </c>
      <c r="B1" s="20" t="s">
        <v>89</v>
      </c>
    </row>
    <row r="2" spans="1:28" hidden="1" x14ac:dyDescent="0.2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6.5" x14ac:dyDescent="0.3">
      <c r="B3" s="171" t="s">
        <v>32</v>
      </c>
      <c r="C3" s="171"/>
      <c r="D3" s="171"/>
      <c r="E3" s="171" t="s">
        <v>37</v>
      </c>
      <c r="F3" s="171"/>
      <c r="G3" s="171"/>
      <c r="H3" s="171" t="s">
        <v>38</v>
      </c>
      <c r="I3" s="171"/>
      <c r="J3" s="171"/>
      <c r="K3" s="171" t="s">
        <v>39</v>
      </c>
      <c r="L3" s="171"/>
      <c r="M3" s="171"/>
      <c r="N3" s="171" t="s">
        <v>62</v>
      </c>
      <c r="O3" s="171"/>
      <c r="P3" s="171"/>
      <c r="Q3" s="171" t="s">
        <v>63</v>
      </c>
      <c r="R3" s="171"/>
      <c r="S3" s="171"/>
      <c r="T3" s="171" t="s">
        <v>33</v>
      </c>
      <c r="U3" s="171"/>
      <c r="V3" s="171"/>
      <c r="W3" s="171" t="s">
        <v>64</v>
      </c>
      <c r="X3" s="171"/>
      <c r="Y3" s="171"/>
      <c r="Z3" s="171" t="s">
        <v>34</v>
      </c>
      <c r="AA3" s="171"/>
      <c r="AB3" s="171"/>
    </row>
    <row r="4" spans="1:28" s="24" customFormat="1" ht="16.5" x14ac:dyDescent="0.3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rgb="FF00B050"/>
    <outlinePr summaryBelow="0" summaryRight="0"/>
  </sheetPr>
  <dimension ref="B2:AB45"/>
  <sheetViews>
    <sheetView showGridLines="0" tabSelected="1" topLeftCell="A9" zoomScale="84" zoomScaleNormal="84" workbookViewId="0">
      <selection activeCell="S26" sqref="S26"/>
    </sheetView>
  </sheetViews>
  <sheetFormatPr baseColWidth="10" defaultColWidth="14.42578125" defaultRowHeight="15" customHeight="1" x14ac:dyDescent="0.25"/>
  <cols>
    <col min="1" max="1" width="6.85546875" customWidth="1"/>
    <col min="21" max="21" width="3.28515625" customWidth="1"/>
    <col min="22" max="23" width="16.42578125" hidden="1" customWidth="1"/>
  </cols>
  <sheetData>
    <row r="2" spans="2:23" ht="15" customHeight="1" x14ac:dyDescent="0.25">
      <c r="B2" s="148" t="s">
        <v>108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</row>
    <row r="3" spans="2:23" s="181" customFormat="1" ht="33" customHeight="1" x14ac:dyDescent="0.3">
      <c r="B3" s="177" t="s">
        <v>104</v>
      </c>
      <c r="C3" s="176" t="s">
        <v>103</v>
      </c>
      <c r="D3" s="176" t="s">
        <v>102</v>
      </c>
      <c r="E3" s="176" t="s">
        <v>101</v>
      </c>
      <c r="F3" s="176" t="s">
        <v>170</v>
      </c>
      <c r="G3" s="178" t="s">
        <v>120</v>
      </c>
      <c r="H3" s="178" t="s">
        <v>171</v>
      </c>
      <c r="I3" s="178" t="s">
        <v>100</v>
      </c>
      <c r="J3" s="178" t="s">
        <v>172</v>
      </c>
      <c r="K3" s="179" t="s">
        <v>173</v>
      </c>
      <c r="L3" s="178" t="s">
        <v>174</v>
      </c>
      <c r="M3" s="178" t="s">
        <v>175</v>
      </c>
      <c r="N3" s="178" t="s">
        <v>176</v>
      </c>
      <c r="O3" s="178" t="s">
        <v>177</v>
      </c>
      <c r="P3" s="178" t="s">
        <v>178</v>
      </c>
      <c r="Q3" s="178" t="s">
        <v>179</v>
      </c>
      <c r="R3" s="178" t="s">
        <v>123</v>
      </c>
      <c r="S3" s="179" t="s">
        <v>180</v>
      </c>
      <c r="T3" s="180" t="s">
        <v>99</v>
      </c>
    </row>
    <row r="4" spans="2:23" ht="15" customHeight="1" x14ac:dyDescent="0.25">
      <c r="B4" s="102">
        <v>0</v>
      </c>
      <c r="C4" s="101">
        <v>1</v>
      </c>
      <c r="D4" s="109" t="str">
        <f>'Defunciones generales'!D21</f>
        <v>803</v>
      </c>
      <c r="E4" s="109">
        <f>Homicidios!D553</f>
        <v>3</v>
      </c>
      <c r="F4" s="96">
        <f>(D4-E4)/D4</f>
        <v>0.99626400996264008</v>
      </c>
      <c r="G4" s="111" t="str">
        <f>LT!H21</f>
        <v>1e+05</v>
      </c>
      <c r="H4" s="113">
        <f>1-LT!F21</f>
        <v>0.98605399999999999</v>
      </c>
      <c r="I4" s="100">
        <f t="shared" ref="I4:I22" si="0">1-H4</f>
        <v>1.3946000000000014E-2</v>
      </c>
      <c r="J4" s="115">
        <f>LT!G2</f>
        <v>0.09</v>
      </c>
      <c r="K4" s="129">
        <f>LT!L21</f>
        <v>73.03</v>
      </c>
      <c r="L4" s="100">
        <f>H4^F4</f>
        <v>0.98610573846554128</v>
      </c>
      <c r="M4" s="99">
        <f t="shared" ref="M4:M22" si="1">1-L4</f>
        <v>1.3894261534458718E-2</v>
      </c>
      <c r="N4" s="97">
        <v>100000</v>
      </c>
      <c r="O4" s="98">
        <f t="shared" ref="O4:O22" si="2">N4*M4</f>
        <v>1389.4261534458719</v>
      </c>
      <c r="P4" s="98">
        <f>C4+(F4*(I4/M4)*(J4-C4))</f>
        <v>9.0023817234340164E-2</v>
      </c>
      <c r="Q4" s="97">
        <f t="shared" ref="Q4:Q20" si="3">(C4*N5)+(P4*O4)</f>
        <v>98735.655292652547</v>
      </c>
      <c r="R4" s="97">
        <f t="shared" ref="R4:R21" si="4">R5+Q4</f>
        <v>7439560.5841099611</v>
      </c>
      <c r="S4" s="130">
        <f t="shared" ref="S4:S22" si="5">R4/N4</f>
        <v>74.395605841099609</v>
      </c>
      <c r="T4" s="95">
        <f t="shared" ref="T4:T22" si="6">S4-K4</f>
        <v>1.3656058410996081</v>
      </c>
    </row>
    <row r="5" spans="2:23" ht="15" customHeight="1" x14ac:dyDescent="0.25">
      <c r="B5" s="102">
        <v>1</v>
      </c>
      <c r="C5" s="101">
        <v>4</v>
      </c>
      <c r="D5" s="109" t="str">
        <f>'Defunciones generales'!D22</f>
        <v>153</v>
      </c>
      <c r="E5" s="109">
        <f>Homicidios!D554</f>
        <v>7</v>
      </c>
      <c r="F5" s="96">
        <f t="shared" ref="F5:F22" si="7">(D5-E5)/D5</f>
        <v>0.95424836601307195</v>
      </c>
      <c r="G5" s="111">
        <f>LT!H22</f>
        <v>98605</v>
      </c>
      <c r="H5" s="113">
        <f>1-LT!F22</f>
        <v>0.99759600000000004</v>
      </c>
      <c r="I5" s="100">
        <f t="shared" si="0"/>
        <v>2.4039999999999617E-3</v>
      </c>
      <c r="J5" s="115">
        <f>LT!G3</f>
        <v>1.61</v>
      </c>
      <c r="K5" s="117">
        <f>LT!L22</f>
        <v>73.069999999999993</v>
      </c>
      <c r="L5" s="100">
        <f>H5^F5</f>
        <v>0.99770586066653111</v>
      </c>
      <c r="M5" s="99">
        <f t="shared" si="1"/>
        <v>2.294139333468892E-3</v>
      </c>
      <c r="N5" s="97">
        <f t="shared" ref="N5:N22" si="8">N4*L4</f>
        <v>98610.573846554122</v>
      </c>
      <c r="O5" s="98">
        <f t="shared" si="2"/>
        <v>226.22639615731862</v>
      </c>
      <c r="P5" s="98">
        <f>C5+(F5*(I5/M5)*(J5-C5))</f>
        <v>1.6101315374163514</v>
      </c>
      <c r="Q5" s="97">
        <f t="shared" si="3"/>
        <v>393901.64405663614</v>
      </c>
      <c r="R5" s="97">
        <f t="shared" si="4"/>
        <v>7340824.9288173085</v>
      </c>
      <c r="S5" s="96">
        <f t="shared" si="5"/>
        <v>74.442573878945424</v>
      </c>
      <c r="T5" s="95">
        <f t="shared" si="6"/>
        <v>1.3725738789454311</v>
      </c>
      <c r="V5" s="141" t="s">
        <v>105</v>
      </c>
      <c r="W5" s="142"/>
    </row>
    <row r="6" spans="2:23" ht="15" customHeight="1" x14ac:dyDescent="0.25">
      <c r="B6" s="102">
        <v>5</v>
      </c>
      <c r="C6" s="101">
        <v>5</v>
      </c>
      <c r="D6" s="109" t="str">
        <f>'Defunciones generales'!D23</f>
        <v>82</v>
      </c>
      <c r="E6" s="109">
        <f>Homicidios!D555</f>
        <v>2</v>
      </c>
      <c r="F6" s="96">
        <f>(D6-E6)/D6</f>
        <v>0.97560975609756095</v>
      </c>
      <c r="G6" s="111">
        <f>LT!H23</f>
        <v>98368</v>
      </c>
      <c r="H6" s="113">
        <f>1-LT!F23</f>
        <v>0.99876600000000004</v>
      </c>
      <c r="I6" s="100">
        <f t="shared" si="0"/>
        <v>1.2339999999999574E-3</v>
      </c>
      <c r="J6" s="115">
        <f>LT!G4</f>
        <v>2.5</v>
      </c>
      <c r="K6" s="117">
        <f>LT!L23</f>
        <v>69.239999999999995</v>
      </c>
      <c r="L6" s="100">
        <f t="shared" ref="L6:L22" si="9">H6^F6</f>
        <v>0.9987960794360734</v>
      </c>
      <c r="M6" s="99">
        <f t="shared" si="1"/>
        <v>1.2039205639265971E-3</v>
      </c>
      <c r="N6" s="97">
        <f t="shared" si="8"/>
        <v>98384.347450396803</v>
      </c>
      <c r="O6" s="98">
        <f t="shared" si="2"/>
        <v>118.44693906403198</v>
      </c>
      <c r="P6" s="98">
        <f>C6+(F6*(I6/M6)*(J6-C6))</f>
        <v>2.5000376372469906</v>
      </c>
      <c r="Q6" s="97">
        <f t="shared" si="3"/>
        <v>491625.62436234066</v>
      </c>
      <c r="R6" s="97">
        <f t="shared" si="4"/>
        <v>6946923.2847606726</v>
      </c>
      <c r="S6" s="96">
        <f t="shared" si="5"/>
        <v>70.610045853718319</v>
      </c>
      <c r="T6" s="95">
        <f t="shared" si="6"/>
        <v>1.3700458537183238</v>
      </c>
      <c r="V6" s="143"/>
      <c r="W6" s="144"/>
    </row>
    <row r="7" spans="2:23" ht="15" customHeight="1" x14ac:dyDescent="0.25">
      <c r="B7" s="102">
        <v>10</v>
      </c>
      <c r="C7" s="101">
        <v>5</v>
      </c>
      <c r="D7" s="109" t="str">
        <f>'Defunciones generales'!D24</f>
        <v>109</v>
      </c>
      <c r="E7" s="109">
        <f>Homicidios!D556</f>
        <v>2</v>
      </c>
      <c r="F7" s="96">
        <f t="shared" si="7"/>
        <v>0.98165137614678899</v>
      </c>
      <c r="G7" s="111">
        <f>LT!H24</f>
        <v>98247</v>
      </c>
      <c r="H7" s="113">
        <f>1-LT!F24</f>
        <v>0.99831499999999995</v>
      </c>
      <c r="I7" s="100">
        <f t="shared" si="0"/>
        <v>1.6850000000000476E-3</v>
      </c>
      <c r="J7" s="115">
        <f>LT!G5</f>
        <v>2.5</v>
      </c>
      <c r="K7" s="117">
        <f>LT!L24</f>
        <v>64.319999999999993</v>
      </c>
      <c r="L7" s="100">
        <f t="shared" si="9"/>
        <v>0.99834589184656286</v>
      </c>
      <c r="M7" s="99">
        <f t="shared" si="1"/>
        <v>1.6541081534371394E-3</v>
      </c>
      <c r="N7" s="97">
        <f t="shared" si="8"/>
        <v>98265.900511332773</v>
      </c>
      <c r="O7" s="98">
        <f t="shared" si="2"/>
        <v>162.54242724063829</v>
      </c>
      <c r="P7" s="100">
        <f t="shared" ref="P7:P20" si="10">(((-5/24)*O6)+((2.5)*O7)+((5/24)*O8))/O7</f>
        <v>2.9114897958854162</v>
      </c>
      <c r="Q7" s="97">
        <f t="shared" si="3"/>
        <v>490990.03103877028</v>
      </c>
      <c r="R7" s="97">
        <f t="shared" si="4"/>
        <v>6455297.6603983315</v>
      </c>
      <c r="S7" s="96">
        <f t="shared" si="5"/>
        <v>65.692143732543897</v>
      </c>
      <c r="T7" s="95">
        <f t="shared" si="6"/>
        <v>1.3721437325439041</v>
      </c>
      <c r="V7" s="145"/>
      <c r="W7" s="146"/>
    </row>
    <row r="8" spans="2:23" ht="15" customHeight="1" x14ac:dyDescent="0.25">
      <c r="B8" s="102">
        <v>15</v>
      </c>
      <c r="C8" s="101">
        <v>5</v>
      </c>
      <c r="D8" s="109" t="str">
        <f>'Defunciones generales'!D25</f>
        <v>483</v>
      </c>
      <c r="E8" s="109">
        <f>Homicidios!D557</f>
        <v>131</v>
      </c>
      <c r="F8" s="96">
        <f t="shared" si="7"/>
        <v>0.72877846790890266</v>
      </c>
      <c r="G8" s="111">
        <f>LT!H25</f>
        <v>98081</v>
      </c>
      <c r="H8" s="113">
        <f>1-LT!F25</f>
        <v>0.99385800000000002</v>
      </c>
      <c r="I8" s="100">
        <f t="shared" si="0"/>
        <v>6.1419999999999808E-3</v>
      </c>
      <c r="J8" s="115">
        <f>LT!G6</f>
        <v>2.5</v>
      </c>
      <c r="K8" s="117">
        <f>LT!L25</f>
        <v>59.43</v>
      </c>
      <c r="L8" s="100">
        <f t="shared" si="9"/>
        <v>0.99552010462592355</v>
      </c>
      <c r="M8" s="99">
        <f t="shared" si="1"/>
        <v>4.479895374076448E-3</v>
      </c>
      <c r="N8" s="97">
        <f t="shared" si="8"/>
        <v>98103.358084092135</v>
      </c>
      <c r="O8" s="98">
        <f t="shared" si="2"/>
        <v>439.49278006228968</v>
      </c>
      <c r="P8" s="100">
        <f t="shared" si="10"/>
        <v>2.7549435286660202</v>
      </c>
      <c r="Q8" s="97">
        <f t="shared" si="3"/>
        <v>489530.10431047727</v>
      </c>
      <c r="R8" s="97">
        <f t="shared" si="4"/>
        <v>5964307.629359561</v>
      </c>
      <c r="S8" s="96">
        <f t="shared" si="5"/>
        <v>60.796161781201029</v>
      </c>
      <c r="T8" s="95">
        <f t="shared" si="6"/>
        <v>1.3661617812010292</v>
      </c>
      <c r="V8" s="106" t="s">
        <v>97</v>
      </c>
      <c r="W8" s="106" t="s">
        <v>96</v>
      </c>
    </row>
    <row r="9" spans="2:23" ht="15" customHeight="1" x14ac:dyDescent="0.25">
      <c r="B9" s="102">
        <v>20</v>
      </c>
      <c r="C9" s="101">
        <v>5</v>
      </c>
      <c r="D9" s="109" t="str">
        <f>'Defunciones generales'!D26</f>
        <v>851</v>
      </c>
      <c r="E9" s="109">
        <f>Homicidios!D558</f>
        <v>322</v>
      </c>
      <c r="F9" s="96">
        <f t="shared" si="7"/>
        <v>0.6216216216216216</v>
      </c>
      <c r="G9" s="111">
        <f>LT!H26</f>
        <v>97479</v>
      </c>
      <c r="H9" s="113">
        <f>1-LT!F26</f>
        <v>0.98848899999999995</v>
      </c>
      <c r="I9" s="100">
        <f t="shared" si="0"/>
        <v>1.1511000000000049E-2</v>
      </c>
      <c r="J9" s="115">
        <f>LT!G7</f>
        <v>2.5</v>
      </c>
      <c r="K9" s="117">
        <f>LT!L26</f>
        <v>54.78</v>
      </c>
      <c r="L9" s="100">
        <f t="shared" si="9"/>
        <v>0.99282884762048351</v>
      </c>
      <c r="M9" s="99">
        <f t="shared" si="1"/>
        <v>7.1711523795164878E-3</v>
      </c>
      <c r="N9" s="97">
        <f t="shared" si="8"/>
        <v>97663.865304029852</v>
      </c>
      <c r="O9" s="98">
        <f t="shared" si="2"/>
        <v>700.36246006777139</v>
      </c>
      <c r="P9" s="100">
        <f t="shared" si="10"/>
        <v>2.635234913906932</v>
      </c>
      <c r="Q9" s="97">
        <f t="shared" si="3"/>
        <v>486663.1338269707</v>
      </c>
      <c r="R9" s="97">
        <f t="shared" si="4"/>
        <v>5474777.5250490839</v>
      </c>
      <c r="S9" s="96">
        <f t="shared" si="5"/>
        <v>56.057350464329623</v>
      </c>
      <c r="T9" s="95">
        <f t="shared" si="6"/>
        <v>1.2773504643296221</v>
      </c>
      <c r="V9" s="103">
        <f>([1]TV!M53-[1]TV!M71)/[1]TV!J53</f>
        <v>66.401396448949356</v>
      </c>
      <c r="W9" s="103">
        <f>(R4-R22)/N4</f>
        <v>72.060328768891026</v>
      </c>
    </row>
    <row r="10" spans="2:23" ht="15" customHeight="1" x14ac:dyDescent="0.25">
      <c r="B10" s="102">
        <v>25</v>
      </c>
      <c r="C10" s="101">
        <v>5</v>
      </c>
      <c r="D10" s="109" t="str">
        <f>'Defunciones generales'!D27</f>
        <v>1,008</v>
      </c>
      <c r="E10" s="109">
        <f>Homicidios!D559</f>
        <v>366</v>
      </c>
      <c r="F10" s="96">
        <f t="shared" si="7"/>
        <v>0.63690476190476186</v>
      </c>
      <c r="G10" s="111">
        <f>LT!H27</f>
        <v>96357</v>
      </c>
      <c r="H10" s="113">
        <f>1-LT!F27</f>
        <v>0.98555999999999999</v>
      </c>
      <c r="I10" s="100">
        <f t="shared" si="0"/>
        <v>1.4440000000000008E-2</v>
      </c>
      <c r="J10" s="115">
        <f>LT!G8</f>
        <v>2.5</v>
      </c>
      <c r="K10" s="117">
        <f>LT!L27</f>
        <v>50.39</v>
      </c>
      <c r="L10" s="100">
        <f t="shared" si="9"/>
        <v>0.99077882556432062</v>
      </c>
      <c r="M10" s="99">
        <f t="shared" si="1"/>
        <v>9.2211744356793801E-3</v>
      </c>
      <c r="N10" s="97">
        <f t="shared" si="8"/>
        <v>96963.50284396208</v>
      </c>
      <c r="O10" s="98">
        <f t="shared" si="2"/>
        <v>894.11737361866801</v>
      </c>
      <c r="P10" s="100">
        <f t="shared" si="10"/>
        <v>2.5733282231526715</v>
      </c>
      <c r="Q10" s="97">
        <f t="shared" si="3"/>
        <v>482647.78482406115</v>
      </c>
      <c r="R10" s="97">
        <f t="shared" si="4"/>
        <v>4988114.3912221128</v>
      </c>
      <c r="S10" s="96">
        <f t="shared" si="5"/>
        <v>51.443215693735873</v>
      </c>
      <c r="T10" s="95">
        <f t="shared" si="6"/>
        <v>1.0532156937358721</v>
      </c>
      <c r="V10" s="104" t="s">
        <v>95</v>
      </c>
      <c r="W10" s="103">
        <f>W9-V9</f>
        <v>5.6589323199416697</v>
      </c>
    </row>
    <row r="11" spans="2:23" ht="15" customHeight="1" x14ac:dyDescent="0.25">
      <c r="B11" s="102">
        <v>30</v>
      </c>
      <c r="C11" s="101">
        <v>5</v>
      </c>
      <c r="D11" s="109" t="str">
        <f>'Defunciones generales'!D28</f>
        <v>1,042</v>
      </c>
      <c r="E11" s="109">
        <f>Homicidios!D560</f>
        <v>333</v>
      </c>
      <c r="F11" s="96">
        <f t="shared" si="7"/>
        <v>0.68042226487523993</v>
      </c>
      <c r="G11" s="111">
        <f>LT!H28</f>
        <v>94965</v>
      </c>
      <c r="H11" s="113">
        <f>1-LT!F28</f>
        <v>0.98451</v>
      </c>
      <c r="I11" s="100">
        <f t="shared" si="0"/>
        <v>1.5490000000000004E-2</v>
      </c>
      <c r="J11" s="115">
        <f>LT!G9</f>
        <v>2.5</v>
      </c>
      <c r="K11" s="117">
        <f>LT!L28</f>
        <v>46.09</v>
      </c>
      <c r="L11" s="100">
        <f t="shared" si="9"/>
        <v>0.9894339925364819</v>
      </c>
      <c r="M11" s="99">
        <f t="shared" si="1"/>
        <v>1.0566007463518101E-2</v>
      </c>
      <c r="N11" s="97">
        <f t="shared" si="8"/>
        <v>96069.385470343419</v>
      </c>
      <c r="O11" s="98">
        <f t="shared" si="2"/>
        <v>1015.069843895246</v>
      </c>
      <c r="P11" s="100">
        <f t="shared" si="10"/>
        <v>2.5736305536150175</v>
      </c>
      <c r="Q11" s="97">
        <f t="shared" si="3"/>
        <v>477883.99289654283</v>
      </c>
      <c r="R11" s="97">
        <f t="shared" si="4"/>
        <v>4505466.6063980516</v>
      </c>
      <c r="S11" s="96">
        <f t="shared" si="5"/>
        <v>46.898047534496691</v>
      </c>
      <c r="T11" s="95">
        <f t="shared" si="6"/>
        <v>0.80804753449668709</v>
      </c>
    </row>
    <row r="12" spans="2:23" ht="15" customHeight="1" x14ac:dyDescent="0.25">
      <c r="B12" s="102">
        <v>35</v>
      </c>
      <c r="C12" s="101">
        <v>5</v>
      </c>
      <c r="D12" s="109" t="str">
        <f>'Defunciones generales'!D29</f>
        <v>1,030</v>
      </c>
      <c r="E12" s="109">
        <f>Homicidios!D561</f>
        <v>263</v>
      </c>
      <c r="F12" s="96">
        <f t="shared" si="7"/>
        <v>0.74466019417475726</v>
      </c>
      <c r="G12" s="111">
        <f>LT!H29</f>
        <v>93494</v>
      </c>
      <c r="H12" s="113">
        <f>1-LT!F29</f>
        <v>0.98233999999999999</v>
      </c>
      <c r="I12" s="100">
        <f t="shared" si="0"/>
        <v>1.7660000000000009E-2</v>
      </c>
      <c r="J12" s="115">
        <f>LT!G10</f>
        <v>2.5</v>
      </c>
      <c r="K12" s="117">
        <f>LT!L29</f>
        <v>41.77</v>
      </c>
      <c r="L12" s="100">
        <f t="shared" si="9"/>
        <v>0.98681942942549716</v>
      </c>
      <c r="M12" s="99">
        <f t="shared" si="1"/>
        <v>1.3180570574502837E-2</v>
      </c>
      <c r="N12" s="97">
        <f t="shared" si="8"/>
        <v>95054.315626448166</v>
      </c>
      <c r="O12" s="98">
        <f t="shared" si="2"/>
        <v>1252.8701155254678</v>
      </c>
      <c r="P12" s="100">
        <f t="shared" si="10"/>
        <v>2.6161877418448585</v>
      </c>
      <c r="Q12" s="97">
        <f t="shared" si="3"/>
        <v>472284.970992975</v>
      </c>
      <c r="R12" s="97">
        <f t="shared" si="4"/>
        <v>4027582.6135015087</v>
      </c>
      <c r="S12" s="96">
        <f t="shared" si="5"/>
        <v>42.371380898994801</v>
      </c>
      <c r="T12" s="95">
        <f t="shared" si="6"/>
        <v>0.60138089899479752</v>
      </c>
    </row>
    <row r="13" spans="2:23" ht="15" customHeight="1" x14ac:dyDescent="0.25">
      <c r="B13" s="102">
        <v>40</v>
      </c>
      <c r="C13" s="101">
        <v>5</v>
      </c>
      <c r="D13" s="109" t="str">
        <f>'Defunciones generales'!D30</f>
        <v>1,198</v>
      </c>
      <c r="E13" s="109">
        <f>Homicidios!D562</f>
        <v>212</v>
      </c>
      <c r="F13" s="96">
        <f t="shared" si="7"/>
        <v>0.82303839732888151</v>
      </c>
      <c r="G13" s="111">
        <f>LT!H30</f>
        <v>91843</v>
      </c>
      <c r="H13" s="113">
        <f>1-LT!F30</f>
        <v>0.97784499999999996</v>
      </c>
      <c r="I13" s="100">
        <f t="shared" si="0"/>
        <v>2.2155000000000036E-2</v>
      </c>
      <c r="J13" s="115">
        <f>LT!G11</f>
        <v>2.5</v>
      </c>
      <c r="K13" s="117">
        <f>LT!L30</f>
        <v>37.479999999999997</v>
      </c>
      <c r="L13" s="100">
        <f t="shared" si="9"/>
        <v>0.98172952503674182</v>
      </c>
      <c r="M13" s="99">
        <f t="shared" si="1"/>
        <v>1.8270474963258176E-2</v>
      </c>
      <c r="N13" s="97">
        <f t="shared" si="8"/>
        <v>93801.445510922698</v>
      </c>
      <c r="O13" s="98">
        <f t="shared" si="2"/>
        <v>1713.7969617247393</v>
      </c>
      <c r="P13" s="100">
        <f t="shared" si="10"/>
        <v>2.6238085476412811</v>
      </c>
      <c r="Q13" s="97">
        <f t="shared" si="3"/>
        <v>464934.91786308476</v>
      </c>
      <c r="R13" s="97">
        <f t="shared" si="4"/>
        <v>3555297.6425085338</v>
      </c>
      <c r="S13" s="96">
        <f t="shared" si="5"/>
        <v>37.902375844459002</v>
      </c>
      <c r="T13" s="95">
        <f t="shared" si="6"/>
        <v>0.42237584445900467</v>
      </c>
    </row>
    <row r="14" spans="2:23" ht="15" customHeight="1" x14ac:dyDescent="0.25">
      <c r="B14" s="102">
        <v>45</v>
      </c>
      <c r="C14" s="101">
        <v>5</v>
      </c>
      <c r="D14" s="109" t="str">
        <f>'Defunciones generales'!D31</f>
        <v>1,475</v>
      </c>
      <c r="E14" s="109">
        <f>Homicidios!D563</f>
        <v>177</v>
      </c>
      <c r="F14" s="96">
        <f t="shared" si="7"/>
        <v>0.88</v>
      </c>
      <c r="G14" s="111">
        <f>LT!H31</f>
        <v>89809</v>
      </c>
      <c r="H14" s="113">
        <f>1-LT!F31</f>
        <v>0.97201899999999997</v>
      </c>
      <c r="I14" s="100">
        <f t="shared" si="0"/>
        <v>2.7981000000000034E-2</v>
      </c>
      <c r="J14" s="115">
        <f>LT!G12</f>
        <v>2.5</v>
      </c>
      <c r="K14" s="117">
        <f>LT!L31</f>
        <v>33.270000000000003</v>
      </c>
      <c r="L14" s="100">
        <f t="shared" si="9"/>
        <v>0.97533494260447684</v>
      </c>
      <c r="M14" s="99">
        <f t="shared" si="1"/>
        <v>2.466505739552316E-2</v>
      </c>
      <c r="N14" s="97">
        <f t="shared" si="8"/>
        <v>92087.648549197955</v>
      </c>
      <c r="O14" s="98">
        <f t="shared" si="2"/>
        <v>2271.3471368847327</v>
      </c>
      <c r="P14" s="100">
        <f t="shared" si="10"/>
        <v>2.6302886467811999</v>
      </c>
      <c r="Q14" s="97">
        <f t="shared" si="3"/>
        <v>455055.80564861302</v>
      </c>
      <c r="R14" s="97">
        <f t="shared" si="4"/>
        <v>3090362.7246454488</v>
      </c>
      <c r="S14" s="96">
        <f t="shared" si="5"/>
        <v>33.558927536241931</v>
      </c>
      <c r="T14" s="95">
        <f t="shared" si="6"/>
        <v>0.28892753624192835</v>
      </c>
    </row>
    <row r="15" spans="2:23" ht="15" customHeight="1" x14ac:dyDescent="0.25">
      <c r="B15" s="102">
        <v>50</v>
      </c>
      <c r="C15" s="101">
        <v>5</v>
      </c>
      <c r="D15" s="109" t="str">
        <f>'Defunciones generales'!D32</f>
        <v>1,546</v>
      </c>
      <c r="E15" s="109">
        <f>Homicidios!D564</f>
        <v>91</v>
      </c>
      <c r="F15" s="96">
        <f t="shared" si="7"/>
        <v>0.94113842173350581</v>
      </c>
      <c r="G15" s="111">
        <f>LT!H32</f>
        <v>87296</v>
      </c>
      <c r="H15" s="113">
        <f>1-LT!F32</f>
        <v>0.96296199999999998</v>
      </c>
      <c r="I15" s="100">
        <f t="shared" si="0"/>
        <v>3.7038000000000015E-2</v>
      </c>
      <c r="J15" s="115">
        <f>LT!G13</f>
        <v>2.5</v>
      </c>
      <c r="K15" s="117">
        <f>LT!L32</f>
        <v>29.16</v>
      </c>
      <c r="L15" s="100">
        <f t="shared" si="9"/>
        <v>0.96510361162006875</v>
      </c>
      <c r="M15" s="99">
        <f t="shared" si="1"/>
        <v>3.4896388379931254E-2</v>
      </c>
      <c r="N15" s="97">
        <f t="shared" si="8"/>
        <v>89816.301412313216</v>
      </c>
      <c r="O15" s="98">
        <f t="shared" si="2"/>
        <v>3134.2645369330498</v>
      </c>
      <c r="P15" s="100">
        <f t="shared" si="10"/>
        <v>2.6542033878530233</v>
      </c>
      <c r="Q15" s="97">
        <f t="shared" si="3"/>
        <v>441729.15992925607</v>
      </c>
      <c r="R15" s="97">
        <f t="shared" si="4"/>
        <v>2635306.9189968356</v>
      </c>
      <c r="S15" s="96">
        <f t="shared" si="5"/>
        <v>29.341075924504196</v>
      </c>
      <c r="T15" s="95">
        <f t="shared" si="6"/>
        <v>0.18107592450419574</v>
      </c>
    </row>
    <row r="16" spans="2:23" ht="15" customHeight="1" x14ac:dyDescent="0.25">
      <c r="B16" s="102">
        <v>55</v>
      </c>
      <c r="C16" s="101">
        <v>5</v>
      </c>
      <c r="D16" s="109" t="str">
        <f>'Defunciones generales'!D33</f>
        <v>1,877</v>
      </c>
      <c r="E16" s="109">
        <f>Homicidios!D565</f>
        <v>53</v>
      </c>
      <c r="F16" s="96">
        <f t="shared" si="7"/>
        <v>0.97176345231752792</v>
      </c>
      <c r="G16" s="111">
        <f>LT!H33</f>
        <v>84062</v>
      </c>
      <c r="H16" s="113">
        <f>1-LT!F33</f>
        <v>0.94553699999999996</v>
      </c>
      <c r="I16" s="100">
        <f t="shared" si="0"/>
        <v>5.4463000000000039E-2</v>
      </c>
      <c r="J16" s="115">
        <f>LT!G14</f>
        <v>2.5</v>
      </c>
      <c r="K16" s="117">
        <f>LT!L33</f>
        <v>25.18</v>
      </c>
      <c r="L16" s="100">
        <f t="shared" si="9"/>
        <v>0.94703337034414392</v>
      </c>
      <c r="M16" s="99">
        <f t="shared" si="1"/>
        <v>5.2966629655856079E-2</v>
      </c>
      <c r="N16" s="97">
        <f t="shared" si="8"/>
        <v>86682.036875380159</v>
      </c>
      <c r="O16" s="98">
        <f t="shared" si="2"/>
        <v>4591.2553449935212</v>
      </c>
      <c r="P16" s="100">
        <f t="shared" si="10"/>
        <v>2.6270288340343888</v>
      </c>
      <c r="Q16" s="97">
        <f t="shared" si="3"/>
        <v>422515.2678276457</v>
      </c>
      <c r="R16" s="97">
        <f t="shared" si="4"/>
        <v>2193577.7590675796</v>
      </c>
      <c r="S16" s="96">
        <f t="shared" si="5"/>
        <v>25.306024617548069</v>
      </c>
      <c r="T16" s="95">
        <f t="shared" si="6"/>
        <v>0.12602461754806882</v>
      </c>
    </row>
    <row r="17" spans="2:28" ht="15" customHeight="1" x14ac:dyDescent="0.25">
      <c r="B17" s="102">
        <v>60</v>
      </c>
      <c r="C17" s="101">
        <v>5</v>
      </c>
      <c r="D17" s="109" t="str">
        <f>'Defunciones generales'!D34</f>
        <v>2,170</v>
      </c>
      <c r="E17" s="109">
        <f>Homicidios!D566</f>
        <v>36</v>
      </c>
      <c r="F17" s="96">
        <f t="shared" si="7"/>
        <v>0.98341013824884793</v>
      </c>
      <c r="G17" s="111">
        <f>LT!H34</f>
        <v>79484</v>
      </c>
      <c r="H17" s="113">
        <f>1-LT!F34</f>
        <v>0.92654400000000003</v>
      </c>
      <c r="I17" s="100">
        <f t="shared" si="0"/>
        <v>7.3455999999999966E-2</v>
      </c>
      <c r="J17" s="115">
        <f>LT!G15</f>
        <v>2.5</v>
      </c>
      <c r="K17" s="117">
        <f>LT!L34</f>
        <v>21.49</v>
      </c>
      <c r="L17" s="100">
        <f t="shared" si="9"/>
        <v>0.92771747168426821</v>
      </c>
      <c r="M17" s="99">
        <f t="shared" si="1"/>
        <v>7.2282528315731787E-2</v>
      </c>
      <c r="N17" s="97">
        <f t="shared" si="8"/>
        <v>82090.781530386637</v>
      </c>
      <c r="O17" s="98">
        <f t="shared" si="2"/>
        <v>5933.7292404307245</v>
      </c>
      <c r="P17" s="100">
        <f t="shared" si="10"/>
        <v>2.6058048465067625</v>
      </c>
      <c r="Q17" s="97">
        <f t="shared" si="3"/>
        <v>396247.40186235285</v>
      </c>
      <c r="R17" s="97">
        <f t="shared" si="4"/>
        <v>1771062.491239934</v>
      </c>
      <c r="S17" s="96">
        <f t="shared" si="5"/>
        <v>21.574438179570251</v>
      </c>
      <c r="T17" s="95">
        <f t="shared" si="6"/>
        <v>8.4438179570252458E-2</v>
      </c>
    </row>
    <row r="18" spans="2:28" ht="15" customHeight="1" x14ac:dyDescent="0.25">
      <c r="B18" s="102">
        <v>65</v>
      </c>
      <c r="C18" s="101">
        <v>5</v>
      </c>
      <c r="D18" s="109" t="str">
        <f>'Defunciones generales'!D35</f>
        <v>2,313</v>
      </c>
      <c r="E18" s="109">
        <f>Homicidios!D567</f>
        <v>14</v>
      </c>
      <c r="F18" s="96">
        <f t="shared" si="7"/>
        <v>0.99394725464764377</v>
      </c>
      <c r="G18" s="111">
        <f>LT!H35</f>
        <v>73646</v>
      </c>
      <c r="H18" s="113">
        <f>1-LT!F35</f>
        <v>0.89956700000000001</v>
      </c>
      <c r="I18" s="100">
        <f t="shared" si="0"/>
        <v>0.10043299999999999</v>
      </c>
      <c r="J18" s="115">
        <f>LT!G16</f>
        <v>2.5</v>
      </c>
      <c r="K18" s="117">
        <f>LT!L35</f>
        <v>18</v>
      </c>
      <c r="L18" s="100">
        <f t="shared" si="9"/>
        <v>0.90014347704500763</v>
      </c>
      <c r="M18" s="99">
        <f t="shared" si="1"/>
        <v>9.9856522954992366E-2</v>
      </c>
      <c r="N18" s="97">
        <f t="shared" si="8"/>
        <v>76157.052289955915</v>
      </c>
      <c r="O18" s="98">
        <f t="shared" si="2"/>
        <v>7604.7784401765366</v>
      </c>
      <c r="P18" s="100">
        <f t="shared" si="10"/>
        <v>2.6074787466293246</v>
      </c>
      <c r="Q18" s="97">
        <f t="shared" si="3"/>
        <v>362590.66740448214</v>
      </c>
      <c r="R18" s="97">
        <f t="shared" si="4"/>
        <v>1374815.0893775811</v>
      </c>
      <c r="S18" s="96">
        <f t="shared" si="5"/>
        <v>18.052367417572707</v>
      </c>
      <c r="T18" s="95">
        <f t="shared" si="6"/>
        <v>5.2367417572707353E-2</v>
      </c>
    </row>
    <row r="19" spans="2:28" ht="15" customHeight="1" x14ac:dyDescent="0.25">
      <c r="B19" s="102">
        <v>70</v>
      </c>
      <c r="C19" s="101">
        <v>5</v>
      </c>
      <c r="D19" s="109" t="str">
        <f>'Defunciones generales'!D36</f>
        <v>2,651</v>
      </c>
      <c r="E19" s="109">
        <f>Homicidios!D568</f>
        <v>11</v>
      </c>
      <c r="F19" s="96">
        <f t="shared" si="7"/>
        <v>0.99585062240663902</v>
      </c>
      <c r="G19" s="111">
        <f>LT!H36</f>
        <v>66249</v>
      </c>
      <c r="H19" s="113">
        <f>1-LT!F36</f>
        <v>0.85565800000000003</v>
      </c>
      <c r="I19" s="100">
        <f t="shared" si="0"/>
        <v>0.14434199999999997</v>
      </c>
      <c r="J19" s="115">
        <f>LT!G17</f>
        <v>2.5</v>
      </c>
      <c r="K19" s="117">
        <f>LT!L36</f>
        <v>14.73</v>
      </c>
      <c r="L19" s="100">
        <f t="shared" si="9"/>
        <v>0.85621163892066765</v>
      </c>
      <c r="M19" s="99">
        <f t="shared" si="1"/>
        <v>0.14378836107933235</v>
      </c>
      <c r="N19" s="97">
        <f t="shared" si="8"/>
        <v>68552.273849779376</v>
      </c>
      <c r="O19" s="98">
        <f t="shared" si="2"/>
        <v>9857.0191051213496</v>
      </c>
      <c r="P19" s="100">
        <f t="shared" si="10"/>
        <v>2.5983612728683076</v>
      </c>
      <c r="Q19" s="97">
        <f>(C19*N20)+(P19*O19)</f>
        <v>319088.37043196044</v>
      </c>
      <c r="R19" s="97">
        <f t="shared" si="4"/>
        <v>1012224.4219730991</v>
      </c>
      <c r="S19" s="96">
        <f t="shared" si="5"/>
        <v>14.765730808451611</v>
      </c>
      <c r="T19" s="95">
        <f t="shared" si="6"/>
        <v>3.5730808451610585E-2</v>
      </c>
    </row>
    <row r="20" spans="2:28" ht="15" customHeight="1" x14ac:dyDescent="0.25">
      <c r="B20" s="102">
        <v>75</v>
      </c>
      <c r="C20" s="101">
        <v>5</v>
      </c>
      <c r="D20" s="109" t="str">
        <f>'Defunciones generales'!D37</f>
        <v>2,803</v>
      </c>
      <c r="E20" s="109">
        <f>Homicidios!D569</f>
        <v>5</v>
      </c>
      <c r="F20" s="96">
        <f t="shared" si="7"/>
        <v>0.9982161969318587</v>
      </c>
      <c r="G20" s="111">
        <f>LT!H37</f>
        <v>56687</v>
      </c>
      <c r="H20" s="113">
        <f>1-LT!F37</f>
        <v>0.79081699999999999</v>
      </c>
      <c r="I20" s="100">
        <f t="shared" si="0"/>
        <v>0.20918300000000001</v>
      </c>
      <c r="J20" s="115">
        <f>LT!G18</f>
        <v>2.5</v>
      </c>
      <c r="K20" s="117">
        <f>LT!L37</f>
        <v>11.79</v>
      </c>
      <c r="L20" s="100">
        <f t="shared" si="9"/>
        <v>0.79114813567695386</v>
      </c>
      <c r="M20" s="99">
        <f t="shared" si="1"/>
        <v>0.20885186432304614</v>
      </c>
      <c r="N20" s="97">
        <f t="shared" si="8"/>
        <v>58695.254744658028</v>
      </c>
      <c r="O20" s="98">
        <f t="shared" si="2"/>
        <v>12258.613380337949</v>
      </c>
      <c r="P20" s="100">
        <f t="shared" si="10"/>
        <v>2.5798291081328761</v>
      </c>
      <c r="Q20" s="97">
        <f t="shared" si="3"/>
        <v>263808.33444554335</v>
      </c>
      <c r="R20" s="97">
        <f t="shared" si="4"/>
        <v>693136.05154113867</v>
      </c>
      <c r="S20" s="96">
        <f t="shared" si="5"/>
        <v>11.809064541188015</v>
      </c>
      <c r="T20" s="95">
        <f t="shared" si="6"/>
        <v>1.9064541188015482E-2</v>
      </c>
    </row>
    <row r="21" spans="2:28" ht="15" customHeight="1" x14ac:dyDescent="0.25">
      <c r="B21" s="102">
        <v>80</v>
      </c>
      <c r="C21" s="101">
        <v>5</v>
      </c>
      <c r="D21" s="109" t="str">
        <f>'Defunciones generales'!D38</f>
        <v>2,586</v>
      </c>
      <c r="E21" s="109">
        <f>Homicidios!D570</f>
        <v>1</v>
      </c>
      <c r="F21" s="96">
        <f t="shared" si="7"/>
        <v>0.99961330239752511</v>
      </c>
      <c r="G21" s="111">
        <f>LT!H38</f>
        <v>44829</v>
      </c>
      <c r="H21" s="113">
        <f>1-LT!F38</f>
        <v>0.68647799999999992</v>
      </c>
      <c r="I21" s="100">
        <f t="shared" si="0"/>
        <v>0.31352200000000008</v>
      </c>
      <c r="J21" s="115">
        <f>LT!G19</f>
        <v>2.5</v>
      </c>
      <c r="K21" s="117">
        <f>LT!L38</f>
        <v>9.24</v>
      </c>
      <c r="L21" s="100">
        <f t="shared" si="9"/>
        <v>0.68657786807175913</v>
      </c>
      <c r="M21" s="99">
        <f t="shared" si="1"/>
        <v>0.31342213192824087</v>
      </c>
      <c r="N21" s="97">
        <f t="shared" si="8"/>
        <v>46436.641364320079</v>
      </c>
      <c r="O21" s="98">
        <f t="shared" si="2"/>
        <v>14554.271135992334</v>
      </c>
      <c r="P21" s="98">
        <f>C21+(F21*(I21/M21)*(J21-C21))</f>
        <v>2.5001704580802291</v>
      </c>
      <c r="Q21" s="97">
        <f>(C21*N22)+(P21*O21)</f>
        <v>195800.00987473654</v>
      </c>
      <c r="R21" s="97">
        <f t="shared" si="4"/>
        <v>429327.71709559532</v>
      </c>
      <c r="S21" s="96">
        <f t="shared" si="5"/>
        <v>9.2454515331393523</v>
      </c>
      <c r="T21" s="95">
        <f t="shared" si="6"/>
        <v>5.4515331393520938E-3</v>
      </c>
    </row>
    <row r="22" spans="2:28" ht="15" customHeight="1" x14ac:dyDescent="0.25">
      <c r="B22" s="94">
        <v>85</v>
      </c>
      <c r="C22" s="93">
        <v>5</v>
      </c>
      <c r="D22" s="110" t="str">
        <f>'Defunciones generales'!D39</f>
        <v>4,166</v>
      </c>
      <c r="E22" s="110">
        <f>Homicidios!D571</f>
        <v>1</v>
      </c>
      <c r="F22" s="88">
        <f t="shared" si="7"/>
        <v>0.99975996159385505</v>
      </c>
      <c r="G22" s="112">
        <f>LT!H39</f>
        <v>30774</v>
      </c>
      <c r="H22" s="114">
        <f>1-LT!F39</f>
        <v>0</v>
      </c>
      <c r="I22" s="92">
        <f t="shared" si="0"/>
        <v>1</v>
      </c>
      <c r="J22" s="116" t="str">
        <f>LT!G20</f>
        <v>NA</v>
      </c>
      <c r="K22" s="118">
        <f>LT!L39</f>
        <v>7.32</v>
      </c>
      <c r="L22" s="92">
        <f t="shared" si="9"/>
        <v>0</v>
      </c>
      <c r="M22" s="91">
        <f t="shared" si="1"/>
        <v>1</v>
      </c>
      <c r="N22" s="89">
        <f t="shared" si="8"/>
        <v>31882.370228327745</v>
      </c>
      <c r="O22" s="90">
        <f t="shared" si="2"/>
        <v>31882.370228327745</v>
      </c>
      <c r="P22" s="92">
        <f>K22/F22</f>
        <v>7.3217575030012005</v>
      </c>
      <c r="Q22" s="118">
        <f>N22/LT!E39</f>
        <v>233527.70722085878</v>
      </c>
      <c r="R22" s="89">
        <f>Q22</f>
        <v>233527.70722085878</v>
      </c>
      <c r="S22" s="88">
        <f t="shared" si="5"/>
        <v>7.3246658121223218</v>
      </c>
      <c r="T22" s="87">
        <f t="shared" si="6"/>
        <v>4.6658121223215332E-3</v>
      </c>
    </row>
    <row r="24" spans="2:28" ht="15" customHeight="1" x14ac:dyDescent="0.25">
      <c r="B24" s="147" t="s">
        <v>109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</row>
    <row r="25" spans="2:28" x14ac:dyDescent="0.25">
      <c r="C25" s="108"/>
      <c r="D25" s="108"/>
      <c r="E25" s="108"/>
      <c r="F25" s="108"/>
    </row>
    <row r="26" spans="2:28" ht="33" customHeight="1" x14ac:dyDescent="0.25">
      <c r="B26" s="177" t="s">
        <v>104</v>
      </c>
      <c r="C26" s="176" t="s">
        <v>103</v>
      </c>
      <c r="D26" s="176" t="s">
        <v>102</v>
      </c>
      <c r="E26" s="176" t="s">
        <v>101</v>
      </c>
      <c r="F26" s="176" t="s">
        <v>170</v>
      </c>
      <c r="G26" s="178" t="s">
        <v>120</v>
      </c>
      <c r="H26" s="178" t="s">
        <v>171</v>
      </c>
      <c r="I26" s="178" t="s">
        <v>100</v>
      </c>
      <c r="J26" s="178" t="s">
        <v>172</v>
      </c>
      <c r="K26" s="179" t="s">
        <v>173</v>
      </c>
      <c r="L26" s="178" t="s">
        <v>174</v>
      </c>
      <c r="M26" s="178" t="s">
        <v>175</v>
      </c>
      <c r="N26" s="178" t="s">
        <v>176</v>
      </c>
      <c r="O26" s="178" t="s">
        <v>177</v>
      </c>
      <c r="P26" s="178" t="s">
        <v>178</v>
      </c>
      <c r="Q26" s="178" t="s">
        <v>179</v>
      </c>
      <c r="R26" s="178" t="s">
        <v>123</v>
      </c>
      <c r="S26" s="179" t="s">
        <v>180</v>
      </c>
      <c r="T26" s="180" t="s">
        <v>99</v>
      </c>
      <c r="AA26" s="84" t="s">
        <v>107</v>
      </c>
      <c r="AB26" s="84" t="s">
        <v>106</v>
      </c>
    </row>
    <row r="27" spans="2:28" x14ac:dyDescent="0.25">
      <c r="B27" s="102">
        <v>0</v>
      </c>
      <c r="C27" s="101">
        <v>1</v>
      </c>
      <c r="D27" s="119" t="str">
        <f>'Defunciones generales'!D78</f>
        <v>600</v>
      </c>
      <c r="E27" s="119">
        <f>Homicidios!D1218</f>
        <v>2</v>
      </c>
      <c r="F27" s="96">
        <f t="shared" ref="F27:F45" si="11">(D27-E27)/D27</f>
        <v>0.9966666666666667</v>
      </c>
      <c r="G27" s="121" t="str">
        <f>LT!H78</f>
        <v>1e+05</v>
      </c>
      <c r="H27" s="122">
        <f>1-LT!F78</f>
        <v>0.98879399999999995</v>
      </c>
      <c r="I27" s="100">
        <f t="shared" ref="I27:I45" si="12">1-H27</f>
        <v>1.1206000000000049E-2</v>
      </c>
      <c r="J27" s="125">
        <f>LT!G78</f>
        <v>0.08</v>
      </c>
      <c r="K27" s="131">
        <f>LT!L78</f>
        <v>79.37</v>
      </c>
      <c r="L27" s="100">
        <f t="shared" ref="L27:L45" si="13">H27^F27</f>
        <v>0.98883114395406313</v>
      </c>
      <c r="M27" s="99">
        <f t="shared" ref="M27:M45" si="14">1-L27</f>
        <v>1.116885604593687E-2</v>
      </c>
      <c r="N27" s="97">
        <v>100000</v>
      </c>
      <c r="O27" s="98">
        <f t="shared" ref="O27:O45" si="15">N27*M27</f>
        <v>1116.885604593687</v>
      </c>
      <c r="P27" s="98">
        <f>C27+(F27*(I27/M27)*(J27-C27))</f>
        <v>8.001724697030288E-2</v>
      </c>
      <c r="Q27" s="97">
        <f t="shared" ref="Q27:Q44" si="16">(C27*N28)+(P27*O27)</f>
        <v>98972.48450666666</v>
      </c>
      <c r="R27" s="97">
        <f t="shared" ref="R27:R44" si="17">R28+Q27</f>
        <v>7960372.3917437186</v>
      </c>
      <c r="S27" s="132">
        <f t="shared" ref="S27:S45" si="18">R27/N27</f>
        <v>79.603723917437193</v>
      </c>
      <c r="T27" s="95">
        <f t="shared" ref="T27:T45" si="19">S27-K27</f>
        <v>0.23372391743718879</v>
      </c>
      <c r="Z27" s="138" t="s">
        <v>130</v>
      </c>
      <c r="AA27" s="86">
        <f>S4</f>
        <v>74.395605841099609</v>
      </c>
      <c r="AB27" s="86">
        <f>S27</f>
        <v>79.603723917437193</v>
      </c>
    </row>
    <row r="28" spans="2:28" x14ac:dyDescent="0.25">
      <c r="B28" s="102">
        <v>1</v>
      </c>
      <c r="C28" s="101">
        <v>4</v>
      </c>
      <c r="D28" s="119" t="str">
        <f>'Defunciones generales'!D79</f>
        <v>105</v>
      </c>
      <c r="E28" s="119">
        <f>Homicidios!D1219</f>
        <v>4</v>
      </c>
      <c r="F28" s="96">
        <f t="shared" si="11"/>
        <v>0.96190476190476193</v>
      </c>
      <c r="G28" s="121">
        <f>LT!H79</f>
        <v>98879</v>
      </c>
      <c r="H28" s="122">
        <f>1-LT!F79</f>
        <v>0.99790599999999996</v>
      </c>
      <c r="I28" s="100">
        <f t="shared" si="12"/>
        <v>2.0940000000000403E-3</v>
      </c>
      <c r="J28" s="125">
        <f>LT!G79</f>
        <v>1.5</v>
      </c>
      <c r="K28" s="126">
        <f>LT!L79</f>
        <v>79.27</v>
      </c>
      <c r="L28" s="100">
        <f t="shared" si="13"/>
        <v>0.99798569103135104</v>
      </c>
      <c r="M28" s="99">
        <f t="shared" si="14"/>
        <v>2.014308968648959E-3</v>
      </c>
      <c r="N28" s="97">
        <f t="shared" ref="N28:N45" si="20">N27*L27</f>
        <v>98883.114395406315</v>
      </c>
      <c r="O28" s="98">
        <f t="shared" si="15"/>
        <v>199.18114417460794</v>
      </c>
      <c r="P28" s="98">
        <f>C28+(F28*(I28/M28)*(J28-C28))</f>
        <v>1.5000997826321587</v>
      </c>
      <c r="Q28" s="97">
        <f t="shared" si="16"/>
        <v>395034.5245960076</v>
      </c>
      <c r="R28" s="97">
        <f t="shared" si="17"/>
        <v>7861399.907237052</v>
      </c>
      <c r="S28" s="96">
        <f t="shared" si="18"/>
        <v>79.5019448497696</v>
      </c>
      <c r="T28" s="95">
        <f t="shared" si="19"/>
        <v>0.23194484976960439</v>
      </c>
      <c r="U28" s="107"/>
      <c r="V28" s="141" t="s">
        <v>98</v>
      </c>
      <c r="W28" s="142"/>
      <c r="Z28" s="138" t="s">
        <v>131</v>
      </c>
      <c r="AA28" s="86">
        <f>K4</f>
        <v>73.03</v>
      </c>
      <c r="AB28" s="86">
        <f>K27</f>
        <v>79.37</v>
      </c>
    </row>
    <row r="29" spans="2:28" x14ac:dyDescent="0.25">
      <c r="B29" s="102">
        <v>5</v>
      </c>
      <c r="C29" s="101">
        <v>5</v>
      </c>
      <c r="D29" s="119" t="str">
        <f>'Defunciones generales'!D80</f>
        <v>63</v>
      </c>
      <c r="E29" s="119">
        <f>Homicidios!D1220</f>
        <v>3</v>
      </c>
      <c r="F29" s="96">
        <f t="shared" si="11"/>
        <v>0.95238095238095233</v>
      </c>
      <c r="G29" s="121">
        <f>LT!H80</f>
        <v>98672</v>
      </c>
      <c r="H29" s="122">
        <f>1-LT!F80</f>
        <v>0.99893600000000005</v>
      </c>
      <c r="I29" s="100">
        <f t="shared" si="12"/>
        <v>1.0639999999999539E-3</v>
      </c>
      <c r="J29" s="125">
        <f>LT!G80</f>
        <v>2.5</v>
      </c>
      <c r="K29" s="126">
        <f>LT!L80</f>
        <v>75.430000000000007</v>
      </c>
      <c r="L29" s="100">
        <f t="shared" si="13"/>
        <v>0.9989866409860122</v>
      </c>
      <c r="M29" s="99">
        <f t="shared" si="14"/>
        <v>1.0133590139878024E-3</v>
      </c>
      <c r="N29" s="97">
        <f t="shared" si="20"/>
        <v>98683.933251231705</v>
      </c>
      <c r="O29" s="98">
        <f t="shared" si="15"/>
        <v>100.00225329590627</v>
      </c>
      <c r="P29" s="98">
        <f>C29+(F29*(I29/M29)*(J29-C29))</f>
        <v>2.5000633552723137</v>
      </c>
      <c r="Q29" s="97">
        <f t="shared" si="16"/>
        <v>493169.66695858876</v>
      </c>
      <c r="R29" s="97">
        <f t="shared" si="17"/>
        <v>7466365.3826410444</v>
      </c>
      <c r="S29" s="96">
        <f t="shared" si="18"/>
        <v>75.659381792505258</v>
      </c>
      <c r="T29" s="95">
        <f t="shared" si="19"/>
        <v>0.22938179250525081</v>
      </c>
      <c r="U29" s="107"/>
      <c r="V29" s="143"/>
      <c r="W29" s="144"/>
      <c r="AA29" s="85">
        <f>AA27-AA28</f>
        <v>1.3656058410996081</v>
      </c>
      <c r="AB29" s="85">
        <f>AB27-AB28</f>
        <v>0.23372391743718879</v>
      </c>
    </row>
    <row r="30" spans="2:28" x14ac:dyDescent="0.25">
      <c r="B30" s="102">
        <v>10</v>
      </c>
      <c r="C30" s="101">
        <v>5</v>
      </c>
      <c r="D30" s="119" t="str">
        <f>'Defunciones generales'!D81</f>
        <v>75</v>
      </c>
      <c r="E30" s="119">
        <f>Homicidios!D1221</f>
        <v>5</v>
      </c>
      <c r="F30" s="96">
        <f t="shared" si="11"/>
        <v>0.93333333333333335</v>
      </c>
      <c r="G30" s="121">
        <f>LT!H81</f>
        <v>98567</v>
      </c>
      <c r="H30" s="122">
        <f>1-LT!F81</f>
        <v>0.99878999999999996</v>
      </c>
      <c r="I30" s="100">
        <f t="shared" si="12"/>
        <v>1.2100000000000444E-3</v>
      </c>
      <c r="J30" s="125">
        <f>LT!G81</f>
        <v>2.5</v>
      </c>
      <c r="K30" s="126">
        <f>LT!L81</f>
        <v>70.510000000000005</v>
      </c>
      <c r="L30" s="100">
        <f t="shared" si="13"/>
        <v>0.99887062109728009</v>
      </c>
      <c r="M30" s="99">
        <f t="shared" si="14"/>
        <v>1.129378902719913E-3</v>
      </c>
      <c r="N30" s="97">
        <f t="shared" si="20"/>
        <v>98583.930997935793</v>
      </c>
      <c r="O30" s="98">
        <f t="shared" si="15"/>
        <v>111.33861181626435</v>
      </c>
      <c r="P30" s="100">
        <f>(((-5/24)*O29)+((2.5)*O30)+((5/24)*O31))/O30</f>
        <v>2.6754170548801484</v>
      </c>
      <c r="Q30" s="97">
        <f t="shared" si="16"/>
        <v>492660.8391515176</v>
      </c>
      <c r="R30" s="97">
        <f t="shared" si="17"/>
        <v>6973195.7156824553</v>
      </c>
      <c r="S30" s="96">
        <f t="shared" si="18"/>
        <v>70.733593650556131</v>
      </c>
      <c r="T30" s="95">
        <f t="shared" si="19"/>
        <v>0.22359365055612557</v>
      </c>
      <c r="U30" s="107"/>
      <c r="V30" s="145"/>
      <c r="W30" s="146"/>
    </row>
    <row r="31" spans="2:28" x14ac:dyDescent="0.25">
      <c r="B31" s="102">
        <v>15</v>
      </c>
      <c r="C31" s="101">
        <v>5</v>
      </c>
      <c r="D31" s="119" t="str">
        <f>'Defunciones generales'!D82</f>
        <v>166</v>
      </c>
      <c r="E31" s="119">
        <f>Homicidios!D1222</f>
        <v>25</v>
      </c>
      <c r="F31" s="96">
        <f t="shared" si="11"/>
        <v>0.8493975903614458</v>
      </c>
      <c r="G31" s="121">
        <f>LT!H82</f>
        <v>98448</v>
      </c>
      <c r="H31" s="122">
        <f>1-LT!F82</f>
        <v>0.99768400000000002</v>
      </c>
      <c r="I31" s="100">
        <f t="shared" si="12"/>
        <v>2.3159999999999847E-3</v>
      </c>
      <c r="J31" s="125">
        <f>LT!G82</f>
        <v>2.5</v>
      </c>
      <c r="K31" s="126">
        <f>LT!L82</f>
        <v>65.59</v>
      </c>
      <c r="L31" s="100">
        <f t="shared" si="13"/>
        <v>0.99803245179982047</v>
      </c>
      <c r="M31" s="99">
        <f t="shared" si="14"/>
        <v>1.9675482001795253E-3</v>
      </c>
      <c r="N31" s="97">
        <f t="shared" si="20"/>
        <v>98472.592386119533</v>
      </c>
      <c r="O31" s="98">
        <f t="shared" si="15"/>
        <v>193.74957191632151</v>
      </c>
      <c r="P31" s="100">
        <f>(((-5/24)*O30)+((2.5)*O31)+((5/24)*O32))/O31</f>
        <v>2.6472692927234411</v>
      </c>
      <c r="Q31" s="97">
        <f t="shared" si="16"/>
        <v>491907.12136322848</v>
      </c>
      <c r="R31" s="97">
        <f t="shared" si="17"/>
        <v>6480534.8765309379</v>
      </c>
      <c r="S31" s="96">
        <f t="shared" si="18"/>
        <v>65.810544025490884</v>
      </c>
      <c r="T31" s="95">
        <f t="shared" si="19"/>
        <v>0.22054402549088081</v>
      </c>
      <c r="U31" s="84"/>
      <c r="V31" s="106" t="s">
        <v>97</v>
      </c>
      <c r="W31" s="106" t="s">
        <v>96</v>
      </c>
    </row>
    <row r="32" spans="2:28" x14ac:dyDescent="0.25">
      <c r="B32" s="102">
        <v>20</v>
      </c>
      <c r="C32" s="101">
        <v>5</v>
      </c>
      <c r="D32" s="119" t="str">
        <f>'Defunciones generales'!D83</f>
        <v>222</v>
      </c>
      <c r="E32" s="119">
        <f>Homicidios!D1223</f>
        <v>37</v>
      </c>
      <c r="F32" s="96">
        <f t="shared" si="11"/>
        <v>0.83333333333333337</v>
      </c>
      <c r="G32" s="121">
        <f>LT!H83</f>
        <v>98220</v>
      </c>
      <c r="H32" s="122">
        <f>1-LT!F83</f>
        <v>0.99696899999999999</v>
      </c>
      <c r="I32" s="100">
        <f t="shared" si="12"/>
        <v>3.0310000000000059E-3</v>
      </c>
      <c r="J32" s="125">
        <f>LT!G83</f>
        <v>2.5</v>
      </c>
      <c r="K32" s="126">
        <f>LT!L83</f>
        <v>60.74</v>
      </c>
      <c r="L32" s="100">
        <f t="shared" si="13"/>
        <v>0.99747352793002164</v>
      </c>
      <c r="M32" s="99">
        <f t="shared" si="14"/>
        <v>2.5264720699783583E-3</v>
      </c>
      <c r="N32" s="97">
        <f t="shared" si="20"/>
        <v>98278.842814203206</v>
      </c>
      <c r="O32" s="98">
        <f t="shared" si="15"/>
        <v>248.29875143987766</v>
      </c>
      <c r="P32" s="100">
        <f>(((-5/24)*O31)+((2.5)*O32)+((5/24)*O33))/O32</f>
        <v>2.6074681083323319</v>
      </c>
      <c r="Q32" s="97">
        <f t="shared" si="16"/>
        <v>490800.15138953482</v>
      </c>
      <c r="R32" s="97">
        <f t="shared" si="17"/>
        <v>5988627.7551677097</v>
      </c>
      <c r="S32" s="96">
        <f t="shared" si="18"/>
        <v>60.935065815632868</v>
      </c>
      <c r="T32" s="95">
        <f t="shared" si="19"/>
        <v>0.19506581563286574</v>
      </c>
      <c r="U32" s="105"/>
      <c r="V32" s="103">
        <f>([1]TV!M29-[1]TV!M47)/[1]TV!J29</f>
        <v>73.32569985958979</v>
      </c>
      <c r="W32" s="103">
        <f>(R27-R45)/N27</f>
        <v>76.211789074608149</v>
      </c>
    </row>
    <row r="33" spans="2:23" x14ac:dyDescent="0.25">
      <c r="B33" s="102">
        <v>25</v>
      </c>
      <c r="C33" s="101">
        <v>5</v>
      </c>
      <c r="D33" s="119" t="str">
        <f>'Defunciones generales'!D84</f>
        <v>246</v>
      </c>
      <c r="E33" s="119">
        <f>Homicidios!D1224</f>
        <v>27</v>
      </c>
      <c r="F33" s="96">
        <f t="shared" si="11"/>
        <v>0.8902439024390244</v>
      </c>
      <c r="G33" s="121">
        <f>LT!H84</f>
        <v>97922</v>
      </c>
      <c r="H33" s="122">
        <f>1-LT!F84</f>
        <v>0.996313</v>
      </c>
      <c r="I33" s="100">
        <f t="shared" si="12"/>
        <v>3.6869999999999958E-3</v>
      </c>
      <c r="J33" s="125">
        <f>LT!G84</f>
        <v>2.5</v>
      </c>
      <c r="K33" s="126">
        <f>LT!L84</f>
        <v>55.92</v>
      </c>
      <c r="L33" s="100">
        <f t="shared" si="13"/>
        <v>0.99671700569284627</v>
      </c>
      <c r="M33" s="99">
        <f t="shared" si="14"/>
        <v>3.2829943071537304E-3</v>
      </c>
      <c r="N33" s="97">
        <f t="shared" si="20"/>
        <v>98030.544062763322</v>
      </c>
      <c r="O33" s="98">
        <f t="shared" si="15"/>
        <v>321.83371808523492</v>
      </c>
      <c r="P33" s="100">
        <f>(((-5/24)*O32)+((2.5)*O33)+((5/24)*O34))/O33</f>
        <v>2.5962985469628688</v>
      </c>
      <c r="Q33" s="97">
        <f t="shared" si="16"/>
        <v>489379.12813801877</v>
      </c>
      <c r="R33" s="97">
        <f t="shared" si="17"/>
        <v>5497827.6037781751</v>
      </c>
      <c r="S33" s="96">
        <f t="shared" si="18"/>
        <v>56.082802113780296</v>
      </c>
      <c r="T33" s="95">
        <f t="shared" si="19"/>
        <v>0.16280211378029463</v>
      </c>
      <c r="V33" s="104" t="s">
        <v>95</v>
      </c>
      <c r="W33" s="103">
        <f>W32-V32</f>
        <v>2.8860892150183588</v>
      </c>
    </row>
    <row r="34" spans="2:23" x14ac:dyDescent="0.25">
      <c r="B34" s="102">
        <v>30</v>
      </c>
      <c r="C34" s="101">
        <v>5</v>
      </c>
      <c r="D34" s="119" t="str">
        <f>'Defunciones generales'!D85</f>
        <v>284</v>
      </c>
      <c r="E34" s="119">
        <f>Homicidios!D1225</f>
        <v>24</v>
      </c>
      <c r="F34" s="96">
        <f t="shared" si="11"/>
        <v>0.91549295774647887</v>
      </c>
      <c r="G34" s="121">
        <f>LT!H85</f>
        <v>97561</v>
      </c>
      <c r="H34" s="122">
        <f>1-LT!F85</f>
        <v>0.99556199999999995</v>
      </c>
      <c r="I34" s="100">
        <f t="shared" si="12"/>
        <v>4.438000000000053E-3</v>
      </c>
      <c r="J34" s="125">
        <f>LT!G85</f>
        <v>2.5</v>
      </c>
      <c r="K34" s="126">
        <f>LT!L85</f>
        <v>51.12</v>
      </c>
      <c r="L34" s="100">
        <f t="shared" si="13"/>
        <v>0.99593627913793481</v>
      </c>
      <c r="M34" s="99">
        <f t="shared" si="14"/>
        <v>4.0637208620651899E-3</v>
      </c>
      <c r="N34" s="97">
        <f t="shared" si="20"/>
        <v>97708.710344678082</v>
      </c>
      <c r="O34" s="98">
        <f t="shared" si="15"/>
        <v>397.06092463315315</v>
      </c>
      <c r="P34" s="100">
        <f t="shared" ref="P34:P42" si="21">(((-5/24)*O33)+((2.5)*O34)+((5/24)*O35))/O34</f>
        <v>2.6137303659658433</v>
      </c>
      <c r="Q34" s="97">
        <f t="shared" si="16"/>
        <v>487596.05729607673</v>
      </c>
      <c r="R34" s="97">
        <f t="shared" si="17"/>
        <v>5008448.4756401563</v>
      </c>
      <c r="S34" s="96">
        <f t="shared" si="18"/>
        <v>51.258976379611504</v>
      </c>
      <c r="T34" s="95">
        <f t="shared" si="19"/>
        <v>0.13897637961150622</v>
      </c>
    </row>
    <row r="35" spans="2:23" x14ac:dyDescent="0.25">
      <c r="B35" s="102">
        <v>35</v>
      </c>
      <c r="C35" s="101">
        <v>5</v>
      </c>
      <c r="D35" s="119" t="str">
        <f>'Defunciones generales'!D86</f>
        <v>355</v>
      </c>
      <c r="E35" s="119">
        <f>Homicidios!D1226</f>
        <v>23</v>
      </c>
      <c r="F35" s="96">
        <f t="shared" si="11"/>
        <v>0.93521126760563378</v>
      </c>
      <c r="G35" s="121">
        <f>LT!H86</f>
        <v>97128</v>
      </c>
      <c r="H35" s="122">
        <f>1-LT!F86</f>
        <v>0.99408300000000005</v>
      </c>
      <c r="I35" s="100">
        <f t="shared" si="12"/>
        <v>5.9169999999999501E-3</v>
      </c>
      <c r="J35" s="125">
        <f>LT!G86</f>
        <v>2.5</v>
      </c>
      <c r="K35" s="126">
        <f>LT!L86</f>
        <v>46.33</v>
      </c>
      <c r="L35" s="100">
        <f t="shared" si="13"/>
        <v>0.99446529202014777</v>
      </c>
      <c r="M35" s="99">
        <f t="shared" si="14"/>
        <v>5.534707979852227E-3</v>
      </c>
      <c r="N35" s="97">
        <f t="shared" si="20"/>
        <v>97311.649420044923</v>
      </c>
      <c r="O35" s="98">
        <f t="shared" si="15"/>
        <v>538.59156257770496</v>
      </c>
      <c r="P35" s="100">
        <f t="shared" si="21"/>
        <v>2.657788939844413</v>
      </c>
      <c r="Q35" s="97">
        <f t="shared" si="16"/>
        <v>485296.75198544865</v>
      </c>
      <c r="R35" s="97">
        <f t="shared" si="17"/>
        <v>4520852.4183440795</v>
      </c>
      <c r="S35" s="96">
        <f t="shared" si="18"/>
        <v>46.457463677651354</v>
      </c>
      <c r="T35" s="95">
        <f t="shared" si="19"/>
        <v>0.12746367765135602</v>
      </c>
    </row>
    <row r="36" spans="2:23" x14ac:dyDescent="0.25">
      <c r="B36" s="102">
        <v>40</v>
      </c>
      <c r="C36" s="101">
        <v>5</v>
      </c>
      <c r="D36" s="119" t="str">
        <f>'Defunciones generales'!D87</f>
        <v>502</v>
      </c>
      <c r="E36" s="119">
        <f>Homicidios!D1227</f>
        <v>27</v>
      </c>
      <c r="F36" s="96">
        <f t="shared" si="11"/>
        <v>0.94621513944223112</v>
      </c>
      <c r="G36" s="121">
        <f>LT!H87</f>
        <v>96554</v>
      </c>
      <c r="H36" s="122">
        <f>1-LT!F87</f>
        <v>0.99121099999999995</v>
      </c>
      <c r="I36" s="100">
        <f t="shared" si="12"/>
        <v>8.7890000000000468E-3</v>
      </c>
      <c r="J36" s="125">
        <f>LT!G87</f>
        <v>2.5</v>
      </c>
      <c r="K36" s="126">
        <f>LT!L87</f>
        <v>41.59</v>
      </c>
      <c r="L36" s="100">
        <f t="shared" si="13"/>
        <v>0.99168174342670323</v>
      </c>
      <c r="M36" s="99">
        <f t="shared" si="14"/>
        <v>8.3182565732967673E-3</v>
      </c>
      <c r="N36" s="97">
        <f t="shared" si="20"/>
        <v>96773.057857467225</v>
      </c>
      <c r="O36" s="98">
        <f t="shared" si="15"/>
        <v>804.98312464090509</v>
      </c>
      <c r="P36" s="100">
        <f t="shared" si="21"/>
        <v>2.689766582125924</v>
      </c>
      <c r="Q36" s="97">
        <f t="shared" si="16"/>
        <v>482005.59037196601</v>
      </c>
      <c r="R36" s="97">
        <f t="shared" si="17"/>
        <v>4035555.6663586306</v>
      </c>
      <c r="S36" s="96">
        <f t="shared" si="18"/>
        <v>41.701231269372748</v>
      </c>
      <c r="T36" s="95">
        <f t="shared" si="19"/>
        <v>0.11123126937274463</v>
      </c>
    </row>
    <row r="37" spans="2:23" x14ac:dyDescent="0.25">
      <c r="B37" s="102">
        <v>45</v>
      </c>
      <c r="C37" s="101">
        <v>5</v>
      </c>
      <c r="D37" s="119" t="str">
        <f>'Defunciones generales'!D88</f>
        <v>611</v>
      </c>
      <c r="E37" s="119">
        <f>Homicidios!D1228</f>
        <v>11</v>
      </c>
      <c r="F37" s="96">
        <f t="shared" si="11"/>
        <v>0.98199672667757776</v>
      </c>
      <c r="G37" s="121">
        <f>LT!H88</f>
        <v>95705</v>
      </c>
      <c r="H37" s="122">
        <f>1-LT!F88</f>
        <v>0.98650599999999999</v>
      </c>
      <c r="I37" s="100">
        <f t="shared" si="12"/>
        <v>1.3494000000000006E-2</v>
      </c>
      <c r="J37" s="125">
        <f>LT!G88</f>
        <v>2.5</v>
      </c>
      <c r="K37" s="126">
        <f>LT!L88</f>
        <v>36.94</v>
      </c>
      <c r="L37" s="100">
        <f t="shared" si="13"/>
        <v>0.98674731916803793</v>
      </c>
      <c r="M37" s="99">
        <f t="shared" si="14"/>
        <v>1.3252680831962071E-2</v>
      </c>
      <c r="N37" s="97">
        <f t="shared" si="20"/>
        <v>95968.074732826324</v>
      </c>
      <c r="O37" s="98">
        <f t="shared" si="15"/>
        <v>1271.834264492031</v>
      </c>
      <c r="P37" s="100">
        <f t="shared" si="21"/>
        <v>2.6771315120820831</v>
      </c>
      <c r="Q37" s="97">
        <f t="shared" si="16"/>
        <v>476886.06992928882</v>
      </c>
      <c r="R37" s="97">
        <f t="shared" si="17"/>
        <v>3553550.0759866647</v>
      </c>
      <c r="S37" s="96">
        <f t="shared" si="18"/>
        <v>37.028460619635169</v>
      </c>
      <c r="T37" s="95">
        <f t="shared" si="19"/>
        <v>8.8460619635171156E-2</v>
      </c>
    </row>
    <row r="38" spans="2:23" x14ac:dyDescent="0.25">
      <c r="B38" s="102">
        <v>50</v>
      </c>
      <c r="C38" s="101">
        <v>5</v>
      </c>
      <c r="D38" s="119" t="str">
        <f>'Defunciones generales'!D89</f>
        <v>918</v>
      </c>
      <c r="E38" s="119">
        <f>Homicidios!D1229</f>
        <v>11</v>
      </c>
      <c r="F38" s="96">
        <f t="shared" si="11"/>
        <v>0.98801742919389979</v>
      </c>
      <c r="G38" s="121">
        <f>LT!H89</f>
        <v>94413</v>
      </c>
      <c r="H38" s="122">
        <f>1-LT!F89</f>
        <v>0.97984099999999996</v>
      </c>
      <c r="I38" s="100">
        <f t="shared" si="12"/>
        <v>2.0159000000000038E-2</v>
      </c>
      <c r="J38" s="125">
        <f>LT!G89</f>
        <v>2.5</v>
      </c>
      <c r="K38" s="126">
        <f>LT!L89</f>
        <v>32.409999999999997</v>
      </c>
      <c r="L38" s="100">
        <f t="shared" si="13"/>
        <v>0.98008013452307419</v>
      </c>
      <c r="M38" s="99">
        <f t="shared" si="14"/>
        <v>1.9919865476925813E-2</v>
      </c>
      <c r="N38" s="97">
        <f t="shared" si="20"/>
        <v>94696.24046833429</v>
      </c>
      <c r="O38" s="98">
        <f t="shared" si="15"/>
        <v>1886.3363712998373</v>
      </c>
      <c r="P38" s="100">
        <f t="shared" si="21"/>
        <v>2.6971970404525334</v>
      </c>
      <c r="Q38" s="97">
        <f t="shared" si="16"/>
        <v>469137.34136314015</v>
      </c>
      <c r="R38" s="97">
        <f t="shared" si="17"/>
        <v>3076664.006057376</v>
      </c>
      <c r="S38" s="96">
        <f t="shared" si="18"/>
        <v>32.489822096857047</v>
      </c>
      <c r="T38" s="95">
        <f t="shared" si="19"/>
        <v>7.982209685705044E-2</v>
      </c>
    </row>
    <row r="39" spans="2:23" x14ac:dyDescent="0.25">
      <c r="B39" s="102">
        <v>55</v>
      </c>
      <c r="C39" s="101">
        <v>5</v>
      </c>
      <c r="D39" s="119" t="str">
        <f>'Defunciones generales'!D90</f>
        <v>1,179</v>
      </c>
      <c r="E39" s="119">
        <f>Homicidios!D1230</f>
        <v>10</v>
      </c>
      <c r="F39" s="96">
        <f t="shared" si="11"/>
        <v>0.99151823579304499</v>
      </c>
      <c r="G39" s="121">
        <f>LT!H90</f>
        <v>92510</v>
      </c>
      <c r="H39" s="122">
        <f>1-LT!F90</f>
        <v>0.966781</v>
      </c>
      <c r="I39" s="100">
        <f t="shared" si="12"/>
        <v>3.3218999999999999E-2</v>
      </c>
      <c r="J39" s="125">
        <f>LT!G90</f>
        <v>2.5</v>
      </c>
      <c r="K39" s="126">
        <f>LT!L90</f>
        <v>28.03</v>
      </c>
      <c r="L39" s="100">
        <f t="shared" si="13"/>
        <v>0.96705806289872509</v>
      </c>
      <c r="M39" s="99">
        <f t="shared" si="14"/>
        <v>3.294193710127491E-2</v>
      </c>
      <c r="N39" s="97">
        <f t="shared" si="20"/>
        <v>92809.90409703445</v>
      </c>
      <c r="O39" s="98">
        <f t="shared" si="15"/>
        <v>3057.3380231398655</v>
      </c>
      <c r="P39" s="100">
        <f t="shared" si="21"/>
        <v>2.6655260299341541</v>
      </c>
      <c r="Q39" s="97">
        <f t="shared" si="16"/>
        <v>456912.24445245974</v>
      </c>
      <c r="R39" s="97">
        <f t="shared" si="17"/>
        <v>2607526.6646942357</v>
      </c>
      <c r="S39" s="96">
        <f t="shared" si="18"/>
        <v>28.095349198594352</v>
      </c>
      <c r="T39" s="95">
        <f t="shared" si="19"/>
        <v>6.5349198594351066E-2</v>
      </c>
    </row>
    <row r="40" spans="2:23" x14ac:dyDescent="0.25">
      <c r="B40" s="102">
        <v>60</v>
      </c>
      <c r="C40" s="101">
        <v>5</v>
      </c>
      <c r="D40" s="119" t="str">
        <f>'Defunciones generales'!D91</f>
        <v>1,636</v>
      </c>
      <c r="E40" s="119">
        <f>Homicidios!D1231</f>
        <v>3</v>
      </c>
      <c r="F40" s="96">
        <f t="shared" si="11"/>
        <v>0.99816625916870416</v>
      </c>
      <c r="G40" s="121">
        <f>LT!H91</f>
        <v>89437</v>
      </c>
      <c r="H40" s="122">
        <f>1-LT!F91</f>
        <v>0.95183200000000001</v>
      </c>
      <c r="I40" s="100">
        <f t="shared" si="12"/>
        <v>4.8167999999999989E-2</v>
      </c>
      <c r="J40" s="125">
        <f>LT!G91</f>
        <v>2.5</v>
      </c>
      <c r="K40" s="126">
        <f>LT!L91</f>
        <v>23.9</v>
      </c>
      <c r="L40" s="100">
        <f t="shared" si="13"/>
        <v>0.9519181692431522</v>
      </c>
      <c r="M40" s="99">
        <f t="shared" si="14"/>
        <v>4.8081830756847799E-2</v>
      </c>
      <c r="N40" s="97">
        <f t="shared" si="20"/>
        <v>89752.566073894588</v>
      </c>
      <c r="O40" s="98">
        <f t="shared" si="15"/>
        <v>4315.4676919577987</v>
      </c>
      <c r="P40" s="100">
        <f t="shared" si="21"/>
        <v>2.6450888743220808</v>
      </c>
      <c r="Q40" s="97">
        <f t="shared" si="16"/>
        <v>438600.28748917789</v>
      </c>
      <c r="R40" s="97">
        <f t="shared" si="17"/>
        <v>2150614.4202417759</v>
      </c>
      <c r="S40" s="96">
        <f t="shared" si="18"/>
        <v>23.961592568519364</v>
      </c>
      <c r="T40" s="95">
        <f t="shared" si="19"/>
        <v>6.1592568519365898E-2</v>
      </c>
    </row>
    <row r="41" spans="2:23" x14ac:dyDescent="0.25">
      <c r="B41" s="102">
        <v>65</v>
      </c>
      <c r="C41" s="101">
        <v>5</v>
      </c>
      <c r="D41" s="119" t="str">
        <f>'Defunciones generales'!D92</f>
        <v>1,953</v>
      </c>
      <c r="E41" s="119">
        <f>Homicidios!D1232</f>
        <v>5</v>
      </c>
      <c r="F41" s="96">
        <f t="shared" si="11"/>
        <v>0.99743983614951359</v>
      </c>
      <c r="G41" s="121">
        <f>LT!H92</f>
        <v>85129</v>
      </c>
      <c r="H41" s="122">
        <f>1-LT!F92</f>
        <v>0.92886299999999999</v>
      </c>
      <c r="I41" s="100">
        <f t="shared" si="12"/>
        <v>7.1137000000000006E-2</v>
      </c>
      <c r="J41" s="125">
        <f>LT!G92</f>
        <v>2.5</v>
      </c>
      <c r="K41" s="126">
        <f>LT!L92</f>
        <v>19.989999999999998</v>
      </c>
      <c r="L41" s="100">
        <f t="shared" si="13"/>
        <v>0.92903850182136927</v>
      </c>
      <c r="M41" s="99">
        <f t="shared" si="14"/>
        <v>7.0961498178630733E-2</v>
      </c>
      <c r="N41" s="97">
        <f t="shared" si="20"/>
        <v>85437.098381936783</v>
      </c>
      <c r="O41" s="98">
        <f t="shared" si="15"/>
        <v>6062.7445012173021</v>
      </c>
      <c r="P41" s="100">
        <f t="shared" si="21"/>
        <v>2.6398259377215973</v>
      </c>
      <c r="Q41" s="97">
        <f t="shared" si="16"/>
        <v>412876.35959168989</v>
      </c>
      <c r="R41" s="97">
        <f t="shared" si="17"/>
        <v>1712014.1327525983</v>
      </c>
      <c r="S41" s="96">
        <f t="shared" si="18"/>
        <v>20.038299113334055</v>
      </c>
      <c r="T41" s="95">
        <f t="shared" si="19"/>
        <v>4.8299113334056898E-2</v>
      </c>
    </row>
    <row r="42" spans="2:23" x14ac:dyDescent="0.25">
      <c r="B42" s="102">
        <v>70</v>
      </c>
      <c r="C42" s="101">
        <v>5</v>
      </c>
      <c r="D42" s="119" t="str">
        <f>'Defunciones generales'!D93</f>
        <v>2,080</v>
      </c>
      <c r="E42" s="119">
        <f>Homicidios!D1233</f>
        <v>6</v>
      </c>
      <c r="F42" s="96">
        <f t="shared" si="11"/>
        <v>0.99711538461538463</v>
      </c>
      <c r="G42" s="121">
        <f>LT!H93</f>
        <v>79073</v>
      </c>
      <c r="H42" s="122">
        <f>1-LT!F93</f>
        <v>0.89407800000000004</v>
      </c>
      <c r="I42" s="100">
        <f t="shared" si="12"/>
        <v>0.10592199999999996</v>
      </c>
      <c r="J42" s="125">
        <f>LT!G93</f>
        <v>2.5</v>
      </c>
      <c r="K42" s="126">
        <f>LT!L93</f>
        <v>16.329999999999998</v>
      </c>
      <c r="L42" s="100">
        <f t="shared" si="13"/>
        <v>0.89436680526818801</v>
      </c>
      <c r="M42" s="99">
        <f t="shared" si="14"/>
        <v>0.10563319473181199</v>
      </c>
      <c r="N42" s="97">
        <f t="shared" si="20"/>
        <v>79374.353880719485</v>
      </c>
      <c r="O42" s="98">
        <f t="shared" si="15"/>
        <v>8384.5665801937976</v>
      </c>
      <c r="P42" s="100">
        <f t="shared" si="21"/>
        <v>2.6467635017328108</v>
      </c>
      <c r="Q42" s="97">
        <f t="shared" si="16"/>
        <v>377140.90130493406</v>
      </c>
      <c r="R42" s="97">
        <f t="shared" si="17"/>
        <v>1299137.7731609084</v>
      </c>
      <c r="S42" s="96">
        <f t="shared" si="18"/>
        <v>16.367223286166197</v>
      </c>
      <c r="T42" s="95">
        <f t="shared" si="19"/>
        <v>3.7223286166199188E-2</v>
      </c>
    </row>
    <row r="43" spans="2:23" x14ac:dyDescent="0.25">
      <c r="B43" s="102">
        <v>75</v>
      </c>
      <c r="C43" s="101">
        <v>5</v>
      </c>
      <c r="D43" s="119" t="str">
        <f>'Defunciones generales'!D94</f>
        <v>2,346</v>
      </c>
      <c r="E43" s="119">
        <f>Homicidios!D1234</f>
        <v>2</v>
      </c>
      <c r="F43" s="96">
        <f t="shared" si="11"/>
        <v>0.99914748508098894</v>
      </c>
      <c r="G43" s="121">
        <f>LT!H94</f>
        <v>70698</v>
      </c>
      <c r="H43" s="122">
        <f>1-LT!F94</f>
        <v>0.83126199999999995</v>
      </c>
      <c r="I43" s="100">
        <f t="shared" si="12"/>
        <v>0.16873800000000005</v>
      </c>
      <c r="J43" s="125">
        <f>LT!G94</f>
        <v>2.5</v>
      </c>
      <c r="K43" s="126">
        <f>LT!L94</f>
        <v>12.96</v>
      </c>
      <c r="L43" s="100">
        <f t="shared" si="13"/>
        <v>0.83139297855213989</v>
      </c>
      <c r="M43" s="99">
        <f t="shared" si="14"/>
        <v>0.16860702144786011</v>
      </c>
      <c r="N43" s="97">
        <f t="shared" si="20"/>
        <v>70989.787300525684</v>
      </c>
      <c r="O43" s="98">
        <f t="shared" si="15"/>
        <v>11969.376589958762</v>
      </c>
      <c r="P43" s="100">
        <f>(((-5/24)*O42)+((2.5)*O43)+((5/24)*O44))/O43</f>
        <v>2.624293991474584</v>
      </c>
      <c r="Q43" s="97">
        <f t="shared" si="16"/>
        <v>326513.21661955991</v>
      </c>
      <c r="R43" s="97">
        <f t="shared" si="17"/>
        <v>921996.87185597443</v>
      </c>
      <c r="S43" s="96">
        <f t="shared" si="18"/>
        <v>12.987739601934924</v>
      </c>
      <c r="T43" s="95">
        <f t="shared" si="19"/>
        <v>2.7739601934923641E-2</v>
      </c>
    </row>
    <row r="44" spans="2:23" x14ac:dyDescent="0.25">
      <c r="B44" s="102">
        <v>80</v>
      </c>
      <c r="C44" s="101">
        <v>5</v>
      </c>
      <c r="D44" s="119" t="str">
        <f>'Defunciones generales'!D95</f>
        <v>2,565</v>
      </c>
      <c r="E44" s="119">
        <f>Homicidios!D1235</f>
        <v>1</v>
      </c>
      <c r="F44" s="96">
        <f t="shared" si="11"/>
        <v>0.99961013645224173</v>
      </c>
      <c r="G44" s="121">
        <f>LT!H95</f>
        <v>58768</v>
      </c>
      <c r="H44" s="122">
        <f>1-LT!F95</f>
        <v>0.73685699999999998</v>
      </c>
      <c r="I44" s="100">
        <f t="shared" si="12"/>
        <v>0.26314300000000002</v>
      </c>
      <c r="J44" s="125">
        <f>LT!G95</f>
        <v>2.5</v>
      </c>
      <c r="K44" s="126">
        <f>LT!L95</f>
        <v>10.09</v>
      </c>
      <c r="L44" s="100">
        <f t="shared" si="13"/>
        <v>0.73694472752642959</v>
      </c>
      <c r="M44" s="99">
        <f t="shared" si="14"/>
        <v>0.26305527247357041</v>
      </c>
      <c r="N44" s="97">
        <f t="shared" si="20"/>
        <v>59020.410710566925</v>
      </c>
      <c r="O44" s="98">
        <f t="shared" si="15"/>
        <v>15525.630220970215</v>
      </c>
      <c r="P44" s="98">
        <f>C44+(F44*(I44/M44)*(J44-C44))</f>
        <v>2.5001412472840636</v>
      </c>
      <c r="Q44" s="97">
        <f t="shared" si="16"/>
        <v>256290.17095351114</v>
      </c>
      <c r="R44" s="97">
        <f t="shared" si="17"/>
        <v>595483.65523641452</v>
      </c>
      <c r="S44" s="96">
        <f t="shared" si="18"/>
        <v>10.089452920899449</v>
      </c>
      <c r="T44" s="95">
        <f t="shared" si="19"/>
        <v>-5.4707910055107334E-4</v>
      </c>
    </row>
    <row r="45" spans="2:23" x14ac:dyDescent="0.25">
      <c r="B45" s="94">
        <v>85</v>
      </c>
      <c r="C45" s="93">
        <v>5</v>
      </c>
      <c r="D45" s="120" t="str">
        <f>'Defunciones generales'!D96</f>
        <v>5,518</v>
      </c>
      <c r="E45" s="120">
        <f>Homicidios!D1236</f>
        <v>4</v>
      </c>
      <c r="F45" s="88">
        <f t="shared" si="11"/>
        <v>0.99927509967379491</v>
      </c>
      <c r="G45" s="123">
        <f>LT!H96</f>
        <v>43304</v>
      </c>
      <c r="H45" s="124">
        <f>1-LT!F96</f>
        <v>0</v>
      </c>
      <c r="I45" s="92">
        <f t="shared" si="12"/>
        <v>1</v>
      </c>
      <c r="J45" s="127" t="str">
        <f>LT!G96</f>
        <v>NA</v>
      </c>
      <c r="K45" s="128">
        <f>LT!L96</f>
        <v>7.8</v>
      </c>
      <c r="L45" s="92">
        <f t="shared" si="13"/>
        <v>0</v>
      </c>
      <c r="M45" s="91">
        <f t="shared" si="14"/>
        <v>1</v>
      </c>
      <c r="N45" s="89">
        <f t="shared" si="20"/>
        <v>43494.780489596706</v>
      </c>
      <c r="O45" s="90">
        <f t="shared" si="15"/>
        <v>43494.780489596706</v>
      </c>
      <c r="P45" s="92">
        <f>K45/F45</f>
        <v>7.8056583242655053</v>
      </c>
      <c r="Q45" s="128">
        <f>N45/LT!E96</f>
        <v>339193.48428290337</v>
      </c>
      <c r="R45" s="89">
        <f>Q45</f>
        <v>339193.48428290337</v>
      </c>
      <c r="S45" s="88">
        <f t="shared" si="18"/>
        <v>7.7984870935038595</v>
      </c>
      <c r="T45" s="87">
        <f t="shared" si="19"/>
        <v>-1.5129064961403316E-3</v>
      </c>
    </row>
  </sheetData>
  <mergeCells count="4">
    <mergeCell ref="V28:W30"/>
    <mergeCell ref="B24:T24"/>
    <mergeCell ref="B2:T2"/>
    <mergeCell ref="V5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dimension ref="A1:L115"/>
  <sheetViews>
    <sheetView topLeftCell="A73" workbookViewId="0">
      <selection activeCell="O25" sqref="O25"/>
    </sheetView>
  </sheetViews>
  <sheetFormatPr baseColWidth="10" defaultRowHeight="15" x14ac:dyDescent="0.25"/>
  <sheetData>
    <row r="1" spans="1:12" x14ac:dyDescent="0.25">
      <c r="A1" t="s">
        <v>116</v>
      </c>
      <c r="B1" t="s">
        <v>110</v>
      </c>
      <c r="C1" t="s">
        <v>111</v>
      </c>
      <c r="D1" t="s">
        <v>112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</row>
    <row r="2" spans="1:12" x14ac:dyDescent="0.25">
      <c r="A2" t="s">
        <v>125</v>
      </c>
      <c r="B2">
        <v>2010</v>
      </c>
      <c r="C2" t="s">
        <v>126</v>
      </c>
      <c r="D2">
        <v>0</v>
      </c>
      <c r="E2">
        <v>1.6039000000000001E-2</v>
      </c>
      <c r="F2">
        <v>1.5807999999999999E-2</v>
      </c>
      <c r="G2">
        <v>0.09</v>
      </c>
      <c r="H2" s="135" t="s">
        <v>127</v>
      </c>
      <c r="I2">
        <v>1581</v>
      </c>
      <c r="J2">
        <v>98558</v>
      </c>
      <c r="K2">
        <v>7258042</v>
      </c>
      <c r="L2">
        <v>72.58</v>
      </c>
    </row>
    <row r="3" spans="1:12" x14ac:dyDescent="0.25">
      <c r="A3" t="s">
        <v>125</v>
      </c>
      <c r="B3">
        <v>2010</v>
      </c>
      <c r="C3" t="s">
        <v>126</v>
      </c>
      <c r="D3">
        <v>1</v>
      </c>
      <c r="E3">
        <v>7.2800000000000002E-4</v>
      </c>
      <c r="F3">
        <v>2.9060000000000002E-3</v>
      </c>
      <c r="G3">
        <v>1.61</v>
      </c>
      <c r="H3">
        <v>98419</v>
      </c>
      <c r="I3">
        <v>286</v>
      </c>
      <c r="J3">
        <v>392992</v>
      </c>
      <c r="K3">
        <v>7159483</v>
      </c>
      <c r="L3">
        <v>72.739999999999995</v>
      </c>
    </row>
    <row r="4" spans="1:12" x14ac:dyDescent="0.25">
      <c r="A4" t="s">
        <v>125</v>
      </c>
      <c r="B4">
        <v>2010</v>
      </c>
      <c r="C4" t="s">
        <v>126</v>
      </c>
      <c r="D4">
        <v>5</v>
      </c>
      <c r="E4">
        <v>2.8899999999999998E-4</v>
      </c>
      <c r="F4">
        <v>1.4450000000000001E-3</v>
      </c>
      <c r="G4">
        <v>2.5</v>
      </c>
      <c r="H4">
        <v>98133</v>
      </c>
      <c r="I4">
        <v>142</v>
      </c>
      <c r="J4">
        <v>490312</v>
      </c>
      <c r="K4">
        <v>6766491</v>
      </c>
      <c r="L4">
        <v>68.95</v>
      </c>
    </row>
    <row r="5" spans="1:12" x14ac:dyDescent="0.25">
      <c r="A5" t="s">
        <v>125</v>
      </c>
      <c r="B5">
        <v>2010</v>
      </c>
      <c r="C5" t="s">
        <v>126</v>
      </c>
      <c r="D5">
        <v>10</v>
      </c>
      <c r="E5">
        <v>3.8200000000000002E-4</v>
      </c>
      <c r="F5">
        <v>1.9059999999999999E-3</v>
      </c>
      <c r="G5">
        <v>2.5</v>
      </c>
      <c r="H5">
        <v>97991</v>
      </c>
      <c r="I5">
        <v>187</v>
      </c>
      <c r="J5">
        <v>489490</v>
      </c>
      <c r="K5">
        <v>6276180</v>
      </c>
      <c r="L5">
        <v>64.05</v>
      </c>
    </row>
    <row r="6" spans="1:12" x14ac:dyDescent="0.25">
      <c r="A6" t="s">
        <v>125</v>
      </c>
      <c r="B6">
        <v>2010</v>
      </c>
      <c r="C6" t="s">
        <v>126</v>
      </c>
      <c r="D6">
        <v>15</v>
      </c>
      <c r="E6">
        <v>1.261E-3</v>
      </c>
      <c r="F6">
        <v>6.2839999999999997E-3</v>
      </c>
      <c r="G6">
        <v>2.5</v>
      </c>
      <c r="H6">
        <v>97805</v>
      </c>
      <c r="I6">
        <v>615</v>
      </c>
      <c r="J6">
        <v>487487</v>
      </c>
      <c r="K6">
        <v>5786689</v>
      </c>
      <c r="L6">
        <v>59.17</v>
      </c>
    </row>
    <row r="7" spans="1:12" x14ac:dyDescent="0.25">
      <c r="A7" t="s">
        <v>125</v>
      </c>
      <c r="B7">
        <v>2010</v>
      </c>
      <c r="C7" t="s">
        <v>126</v>
      </c>
      <c r="D7">
        <v>20</v>
      </c>
      <c r="E7">
        <v>2.0830000000000002E-3</v>
      </c>
      <c r="F7">
        <v>1.0363000000000001E-2</v>
      </c>
      <c r="G7">
        <v>2.5</v>
      </c>
      <c r="H7">
        <v>97190</v>
      </c>
      <c r="I7">
        <v>1007</v>
      </c>
      <c r="J7">
        <v>483432</v>
      </c>
      <c r="K7">
        <v>5299203</v>
      </c>
      <c r="L7">
        <v>54.52</v>
      </c>
    </row>
    <row r="8" spans="1:12" x14ac:dyDescent="0.25">
      <c r="A8" t="s">
        <v>125</v>
      </c>
      <c r="B8">
        <v>2010</v>
      </c>
      <c r="C8" t="s">
        <v>126</v>
      </c>
      <c r="D8">
        <v>25</v>
      </c>
      <c r="E8">
        <v>2.594E-3</v>
      </c>
      <c r="F8">
        <v>1.2885000000000001E-2</v>
      </c>
      <c r="G8">
        <v>2.5</v>
      </c>
      <c r="H8">
        <v>96183</v>
      </c>
      <c r="I8">
        <v>1239</v>
      </c>
      <c r="J8">
        <v>477816</v>
      </c>
      <c r="K8">
        <v>4815770</v>
      </c>
      <c r="L8">
        <v>50.07</v>
      </c>
    </row>
    <row r="9" spans="1:12" x14ac:dyDescent="0.25">
      <c r="A9" t="s">
        <v>125</v>
      </c>
      <c r="B9">
        <v>2010</v>
      </c>
      <c r="C9" t="s">
        <v>126</v>
      </c>
      <c r="D9">
        <v>30</v>
      </c>
      <c r="E9">
        <v>2.9380000000000001E-3</v>
      </c>
      <c r="F9">
        <v>1.4581999999999999E-2</v>
      </c>
      <c r="G9">
        <v>2.5</v>
      </c>
      <c r="H9">
        <v>94944</v>
      </c>
      <c r="I9">
        <v>1384</v>
      </c>
      <c r="J9">
        <v>471257</v>
      </c>
      <c r="K9">
        <v>4337954</v>
      </c>
      <c r="L9">
        <v>45.69</v>
      </c>
    </row>
    <row r="10" spans="1:12" x14ac:dyDescent="0.25">
      <c r="A10" t="s">
        <v>125</v>
      </c>
      <c r="B10">
        <v>2010</v>
      </c>
      <c r="C10" t="s">
        <v>126</v>
      </c>
      <c r="D10">
        <v>35</v>
      </c>
      <c r="E10">
        <v>3.336E-3</v>
      </c>
      <c r="F10">
        <v>1.6542000000000001E-2</v>
      </c>
      <c r="G10">
        <v>2.5</v>
      </c>
      <c r="H10">
        <v>93559</v>
      </c>
      <c r="I10">
        <v>1548</v>
      </c>
      <c r="J10">
        <v>463927</v>
      </c>
      <c r="K10">
        <v>3866697</v>
      </c>
      <c r="L10">
        <v>41.33</v>
      </c>
    </row>
    <row r="11" spans="1:12" x14ac:dyDescent="0.25">
      <c r="A11" t="s">
        <v>125</v>
      </c>
      <c r="B11">
        <v>2010</v>
      </c>
      <c r="C11" t="s">
        <v>126</v>
      </c>
      <c r="D11">
        <v>40</v>
      </c>
      <c r="E11">
        <v>4.0930000000000003E-3</v>
      </c>
      <c r="F11">
        <v>2.0256E-2</v>
      </c>
      <c r="G11">
        <v>2.5</v>
      </c>
      <c r="H11">
        <v>92012</v>
      </c>
      <c r="I11">
        <v>1864</v>
      </c>
      <c r="J11">
        <v>455398</v>
      </c>
      <c r="K11">
        <v>3402770</v>
      </c>
      <c r="L11">
        <v>36.979999999999997</v>
      </c>
    </row>
    <row r="12" spans="1:12" x14ac:dyDescent="0.25">
      <c r="A12" t="s">
        <v>125</v>
      </c>
      <c r="B12">
        <v>2010</v>
      </c>
      <c r="C12" t="s">
        <v>126</v>
      </c>
      <c r="D12">
        <v>45</v>
      </c>
      <c r="E12">
        <v>5.5319999999999996E-3</v>
      </c>
      <c r="F12">
        <v>2.7281E-2</v>
      </c>
      <c r="G12">
        <v>2.5</v>
      </c>
      <c r="H12">
        <v>90148</v>
      </c>
      <c r="I12">
        <v>2459</v>
      </c>
      <c r="J12">
        <v>444590</v>
      </c>
      <c r="K12">
        <v>2947372</v>
      </c>
      <c r="L12">
        <v>32.69</v>
      </c>
    </row>
    <row r="13" spans="1:12" x14ac:dyDescent="0.25">
      <c r="A13" t="s">
        <v>125</v>
      </c>
      <c r="B13">
        <v>2010</v>
      </c>
      <c r="C13" t="s">
        <v>126</v>
      </c>
      <c r="D13">
        <v>50</v>
      </c>
      <c r="E13">
        <v>7.6559999999999996E-3</v>
      </c>
      <c r="F13">
        <v>3.7560999999999997E-2</v>
      </c>
      <c r="G13">
        <v>2.5</v>
      </c>
      <c r="H13">
        <v>87688</v>
      </c>
      <c r="I13">
        <v>3294</v>
      </c>
      <c r="J13">
        <v>430208</v>
      </c>
      <c r="K13">
        <v>2502782</v>
      </c>
      <c r="L13">
        <v>28.54</v>
      </c>
    </row>
    <row r="14" spans="1:12" x14ac:dyDescent="0.25">
      <c r="A14" t="s">
        <v>125</v>
      </c>
      <c r="B14">
        <v>2010</v>
      </c>
      <c r="C14" t="s">
        <v>126</v>
      </c>
      <c r="D14">
        <v>55</v>
      </c>
      <c r="E14">
        <v>1.1013E-2</v>
      </c>
      <c r="F14">
        <v>5.3589999999999999E-2</v>
      </c>
      <c r="G14">
        <v>2.5</v>
      </c>
      <c r="H14">
        <v>84395</v>
      </c>
      <c r="I14">
        <v>4523</v>
      </c>
      <c r="J14">
        <v>410667</v>
      </c>
      <c r="K14">
        <v>2072574</v>
      </c>
      <c r="L14">
        <v>24.56</v>
      </c>
    </row>
    <row r="15" spans="1:12" x14ac:dyDescent="0.25">
      <c r="A15" t="s">
        <v>125</v>
      </c>
      <c r="B15">
        <v>2010</v>
      </c>
      <c r="C15" t="s">
        <v>126</v>
      </c>
      <c r="D15">
        <v>60</v>
      </c>
      <c r="E15">
        <v>1.5626999999999999E-2</v>
      </c>
      <c r="F15">
        <v>7.5199000000000002E-2</v>
      </c>
      <c r="G15">
        <v>2.5</v>
      </c>
      <c r="H15">
        <v>79872</v>
      </c>
      <c r="I15">
        <v>6006</v>
      </c>
      <c r="J15">
        <v>384345</v>
      </c>
      <c r="K15">
        <v>1661907</v>
      </c>
      <c r="L15">
        <v>20.81</v>
      </c>
    </row>
    <row r="16" spans="1:12" x14ac:dyDescent="0.25">
      <c r="A16" t="s">
        <v>125</v>
      </c>
      <c r="B16">
        <v>2010</v>
      </c>
      <c r="C16" t="s">
        <v>126</v>
      </c>
      <c r="D16">
        <v>65</v>
      </c>
      <c r="E16">
        <v>2.3387999999999999E-2</v>
      </c>
      <c r="F16">
        <v>0.11047899999999999</v>
      </c>
      <c r="G16">
        <v>2.5</v>
      </c>
      <c r="H16">
        <v>73866</v>
      </c>
      <c r="I16">
        <v>8161</v>
      </c>
      <c r="J16">
        <v>348927</v>
      </c>
      <c r="K16">
        <v>1277562</v>
      </c>
      <c r="L16">
        <v>17.3</v>
      </c>
    </row>
    <row r="17" spans="1:12" x14ac:dyDescent="0.25">
      <c r="A17" t="s">
        <v>125</v>
      </c>
      <c r="B17">
        <v>2010</v>
      </c>
      <c r="C17" t="s">
        <v>126</v>
      </c>
      <c r="D17">
        <v>70</v>
      </c>
      <c r="E17">
        <v>3.2974000000000003E-2</v>
      </c>
      <c r="F17">
        <v>0.152314</v>
      </c>
      <c r="G17">
        <v>2.5</v>
      </c>
      <c r="H17">
        <v>65705</v>
      </c>
      <c r="I17">
        <v>10008</v>
      </c>
      <c r="J17">
        <v>303506</v>
      </c>
      <c r="K17">
        <v>928635</v>
      </c>
      <c r="L17">
        <v>14.13</v>
      </c>
    </row>
    <row r="18" spans="1:12" x14ac:dyDescent="0.25">
      <c r="A18" t="s">
        <v>125</v>
      </c>
      <c r="B18">
        <v>2010</v>
      </c>
      <c r="C18" t="s">
        <v>126</v>
      </c>
      <c r="D18">
        <v>75</v>
      </c>
      <c r="E18">
        <v>5.2773E-2</v>
      </c>
      <c r="F18">
        <v>0.23310900000000001</v>
      </c>
      <c r="G18">
        <v>2.5</v>
      </c>
      <c r="H18">
        <v>55697</v>
      </c>
      <c r="I18">
        <v>12984</v>
      </c>
      <c r="J18">
        <v>246028</v>
      </c>
      <c r="K18">
        <v>625129</v>
      </c>
      <c r="L18">
        <v>11.22</v>
      </c>
    </row>
    <row r="19" spans="1:12" x14ac:dyDescent="0.25">
      <c r="A19" t="s">
        <v>125</v>
      </c>
      <c r="B19">
        <v>2010</v>
      </c>
      <c r="C19" t="s">
        <v>126</v>
      </c>
      <c r="D19">
        <v>80</v>
      </c>
      <c r="E19">
        <v>7.9765000000000003E-2</v>
      </c>
      <c r="F19">
        <v>0.33251599999999998</v>
      </c>
      <c r="G19">
        <v>2.5</v>
      </c>
      <c r="H19">
        <v>42714</v>
      </c>
      <c r="I19">
        <v>14203</v>
      </c>
      <c r="J19">
        <v>178061</v>
      </c>
      <c r="K19">
        <v>379101</v>
      </c>
      <c r="L19">
        <v>8.8800000000000008</v>
      </c>
    </row>
    <row r="20" spans="1:12" x14ac:dyDescent="0.25">
      <c r="A20" t="s">
        <v>125</v>
      </c>
      <c r="B20">
        <v>2010</v>
      </c>
      <c r="C20" t="s">
        <v>126</v>
      </c>
      <c r="D20">
        <v>85</v>
      </c>
      <c r="E20">
        <v>0.141817</v>
      </c>
      <c r="F20">
        <v>1</v>
      </c>
      <c r="G20" t="s">
        <v>128</v>
      </c>
      <c r="H20">
        <v>28511</v>
      </c>
      <c r="I20">
        <v>28511</v>
      </c>
      <c r="J20">
        <v>201040</v>
      </c>
      <c r="K20">
        <v>201040</v>
      </c>
      <c r="L20">
        <v>7.05</v>
      </c>
    </row>
    <row r="21" spans="1:12" x14ac:dyDescent="0.25">
      <c r="A21" s="133" t="s">
        <v>125</v>
      </c>
      <c r="B21" s="133">
        <v>2019</v>
      </c>
      <c r="C21" s="133" t="s">
        <v>126</v>
      </c>
      <c r="D21" s="133">
        <v>0</v>
      </c>
      <c r="E21" s="133">
        <v>1.4127000000000001E-2</v>
      </c>
      <c r="F21" s="133">
        <v>1.3946E-2</v>
      </c>
      <c r="G21" s="133">
        <v>0.08</v>
      </c>
      <c r="H21" s="136" t="s">
        <v>127</v>
      </c>
      <c r="I21" s="133">
        <v>1395</v>
      </c>
      <c r="J21" s="133">
        <v>98721</v>
      </c>
      <c r="K21" s="133">
        <v>7303478</v>
      </c>
      <c r="L21" s="133">
        <v>73.03</v>
      </c>
    </row>
    <row r="22" spans="1:12" x14ac:dyDescent="0.25">
      <c r="A22" s="133" t="s">
        <v>125</v>
      </c>
      <c r="B22" s="133">
        <v>2019</v>
      </c>
      <c r="C22" s="133" t="s">
        <v>126</v>
      </c>
      <c r="D22" s="133">
        <v>1</v>
      </c>
      <c r="E22" s="133">
        <v>6.02E-4</v>
      </c>
      <c r="F22" s="133">
        <v>2.4039999999999999E-3</v>
      </c>
      <c r="G22" s="133">
        <v>1.61</v>
      </c>
      <c r="H22" s="133">
        <v>98605</v>
      </c>
      <c r="I22" s="133">
        <v>237</v>
      </c>
      <c r="J22" s="133">
        <v>393855</v>
      </c>
      <c r="K22" s="133">
        <v>7204757</v>
      </c>
      <c r="L22" s="133">
        <v>73.069999999999993</v>
      </c>
    </row>
    <row r="23" spans="1:12" x14ac:dyDescent="0.25">
      <c r="A23" s="133" t="s">
        <v>125</v>
      </c>
      <c r="B23" s="133">
        <v>2019</v>
      </c>
      <c r="C23" s="133" t="s">
        <v>126</v>
      </c>
      <c r="D23" s="133">
        <v>5</v>
      </c>
      <c r="E23" s="133">
        <v>2.4699999999999999E-4</v>
      </c>
      <c r="F23" s="133">
        <v>1.2340000000000001E-3</v>
      </c>
      <c r="G23" s="133">
        <v>2.5</v>
      </c>
      <c r="H23" s="133">
        <v>98368</v>
      </c>
      <c r="I23" s="133">
        <v>121</v>
      </c>
      <c r="J23" s="133">
        <v>491538</v>
      </c>
      <c r="K23" s="133">
        <v>6810902</v>
      </c>
      <c r="L23" s="133">
        <v>69.239999999999995</v>
      </c>
    </row>
    <row r="24" spans="1:12" x14ac:dyDescent="0.25">
      <c r="A24" s="133" t="s">
        <v>125</v>
      </c>
      <c r="B24" s="133">
        <v>2019</v>
      </c>
      <c r="C24" s="133" t="s">
        <v>126</v>
      </c>
      <c r="D24" s="133">
        <v>10</v>
      </c>
      <c r="E24" s="133">
        <v>3.3700000000000001E-4</v>
      </c>
      <c r="F24" s="133">
        <v>1.6850000000000001E-3</v>
      </c>
      <c r="G24" s="133">
        <v>2.5</v>
      </c>
      <c r="H24" s="133">
        <v>98247</v>
      </c>
      <c r="I24" s="133">
        <v>166</v>
      </c>
      <c r="J24" s="133">
        <v>490821</v>
      </c>
      <c r="K24" s="133">
        <v>6319364</v>
      </c>
      <c r="L24" s="133">
        <v>64.319999999999993</v>
      </c>
    </row>
    <row r="25" spans="1:12" x14ac:dyDescent="0.25">
      <c r="A25" s="133" t="s">
        <v>125</v>
      </c>
      <c r="B25" s="133">
        <v>2019</v>
      </c>
      <c r="C25" s="133" t="s">
        <v>126</v>
      </c>
      <c r="D25" s="133">
        <v>15</v>
      </c>
      <c r="E25" s="133">
        <v>1.232E-3</v>
      </c>
      <c r="F25" s="133">
        <v>6.1419999999999999E-3</v>
      </c>
      <c r="G25" s="133">
        <v>2.5</v>
      </c>
      <c r="H25" s="133">
        <v>98081</v>
      </c>
      <c r="I25" s="133">
        <v>602</v>
      </c>
      <c r="J25" s="133">
        <v>488901</v>
      </c>
      <c r="K25" s="133">
        <v>5828543</v>
      </c>
      <c r="L25" s="133">
        <v>59.43</v>
      </c>
    </row>
    <row r="26" spans="1:12" x14ac:dyDescent="0.25">
      <c r="A26" s="133" t="s">
        <v>125</v>
      </c>
      <c r="B26" s="133">
        <v>2019</v>
      </c>
      <c r="C26" s="133" t="s">
        <v>126</v>
      </c>
      <c r="D26" s="133">
        <v>20</v>
      </c>
      <c r="E26" s="133">
        <v>2.3159999999999999E-3</v>
      </c>
      <c r="F26" s="133">
        <v>1.1511E-2</v>
      </c>
      <c r="G26" s="133">
        <v>2.5</v>
      </c>
      <c r="H26" s="133">
        <v>97479</v>
      </c>
      <c r="I26" s="133">
        <v>1122</v>
      </c>
      <c r="J26" s="133">
        <v>484590</v>
      </c>
      <c r="K26" s="133">
        <v>5339643</v>
      </c>
      <c r="L26" s="133">
        <v>54.78</v>
      </c>
    </row>
    <row r="27" spans="1:12" x14ac:dyDescent="0.25">
      <c r="A27" s="133" t="s">
        <v>125</v>
      </c>
      <c r="B27" s="133">
        <v>2019</v>
      </c>
      <c r="C27" s="133" t="s">
        <v>126</v>
      </c>
      <c r="D27" s="133">
        <v>25</v>
      </c>
      <c r="E27" s="133">
        <v>2.9090000000000001E-3</v>
      </c>
      <c r="F27" s="133">
        <v>1.444E-2</v>
      </c>
      <c r="G27" s="133">
        <v>2.5</v>
      </c>
      <c r="H27" s="133">
        <v>96357</v>
      </c>
      <c r="I27" s="133">
        <v>1391</v>
      </c>
      <c r="J27" s="133">
        <v>478306</v>
      </c>
      <c r="K27" s="133">
        <v>4855053</v>
      </c>
      <c r="L27" s="133">
        <v>50.39</v>
      </c>
    </row>
    <row r="28" spans="1:12" x14ac:dyDescent="0.25">
      <c r="A28" s="133" t="s">
        <v>125</v>
      </c>
      <c r="B28" s="133">
        <v>2019</v>
      </c>
      <c r="C28" s="133" t="s">
        <v>126</v>
      </c>
      <c r="D28" s="133">
        <v>30</v>
      </c>
      <c r="E28" s="133">
        <v>3.1220000000000002E-3</v>
      </c>
      <c r="F28" s="133">
        <v>1.549E-2</v>
      </c>
      <c r="G28" s="133">
        <v>2.5</v>
      </c>
      <c r="H28" s="133">
        <v>94965</v>
      </c>
      <c r="I28" s="133">
        <v>1471</v>
      </c>
      <c r="J28" s="133">
        <v>471150</v>
      </c>
      <c r="K28" s="133">
        <v>4376747</v>
      </c>
      <c r="L28" s="133">
        <v>46.09</v>
      </c>
    </row>
    <row r="29" spans="1:12" x14ac:dyDescent="0.25">
      <c r="A29" s="133" t="s">
        <v>125</v>
      </c>
      <c r="B29" s="133">
        <v>2019</v>
      </c>
      <c r="C29" s="133" t="s">
        <v>126</v>
      </c>
      <c r="D29" s="133">
        <v>35</v>
      </c>
      <c r="E29" s="133">
        <v>3.5630000000000002E-3</v>
      </c>
      <c r="F29" s="133">
        <v>1.7659999999999999E-2</v>
      </c>
      <c r="G29" s="133">
        <v>2.5</v>
      </c>
      <c r="H29" s="133">
        <v>93494</v>
      </c>
      <c r="I29" s="133">
        <v>1651</v>
      </c>
      <c r="J29" s="133">
        <v>463344</v>
      </c>
      <c r="K29" s="133">
        <v>3905598</v>
      </c>
      <c r="L29" s="133">
        <v>41.77</v>
      </c>
    </row>
    <row r="30" spans="1:12" x14ac:dyDescent="0.25">
      <c r="A30" s="133" t="s">
        <v>125</v>
      </c>
      <c r="B30" s="133">
        <v>2019</v>
      </c>
      <c r="C30" s="133" t="s">
        <v>126</v>
      </c>
      <c r="D30" s="133">
        <v>40</v>
      </c>
      <c r="E30" s="133">
        <v>4.4809999999999997E-3</v>
      </c>
      <c r="F30" s="133">
        <v>2.2155000000000001E-2</v>
      </c>
      <c r="G30" s="133">
        <v>2.5</v>
      </c>
      <c r="H30" s="133">
        <v>91843</v>
      </c>
      <c r="I30" s="133">
        <v>2035</v>
      </c>
      <c r="J30" s="133">
        <v>454130</v>
      </c>
      <c r="K30" s="133">
        <v>3442253</v>
      </c>
      <c r="L30" s="133">
        <v>37.479999999999997</v>
      </c>
    </row>
    <row r="31" spans="1:12" x14ac:dyDescent="0.25">
      <c r="A31" s="133" t="s">
        <v>125</v>
      </c>
      <c r="B31" s="133">
        <v>2019</v>
      </c>
      <c r="C31" s="133" t="s">
        <v>126</v>
      </c>
      <c r="D31" s="133">
        <v>45</v>
      </c>
      <c r="E31" s="133">
        <v>5.6759999999999996E-3</v>
      </c>
      <c r="F31" s="133">
        <v>2.7980999999999999E-2</v>
      </c>
      <c r="G31" s="133">
        <v>2.5</v>
      </c>
      <c r="H31" s="133">
        <v>89809</v>
      </c>
      <c r="I31" s="133">
        <v>2513</v>
      </c>
      <c r="J31" s="133">
        <v>442760</v>
      </c>
      <c r="K31" s="133">
        <v>2988124</v>
      </c>
      <c r="L31" s="133">
        <v>33.270000000000003</v>
      </c>
    </row>
    <row r="32" spans="1:12" x14ac:dyDescent="0.25">
      <c r="A32" s="133" t="s">
        <v>125</v>
      </c>
      <c r="B32" s="133">
        <v>2019</v>
      </c>
      <c r="C32" s="133" t="s">
        <v>126</v>
      </c>
      <c r="D32" s="133">
        <v>50</v>
      </c>
      <c r="E32" s="133">
        <v>7.5469999999999999E-3</v>
      </c>
      <c r="F32" s="133">
        <v>3.7038000000000001E-2</v>
      </c>
      <c r="G32" s="133">
        <v>2.5</v>
      </c>
      <c r="H32" s="133">
        <v>87296</v>
      </c>
      <c r="I32" s="133">
        <v>3233</v>
      </c>
      <c r="J32" s="133">
        <v>428395</v>
      </c>
      <c r="K32" s="133">
        <v>2545363</v>
      </c>
      <c r="L32" s="133">
        <v>29.16</v>
      </c>
    </row>
    <row r="33" spans="1:12" x14ac:dyDescent="0.25">
      <c r="A33" s="133" t="s">
        <v>125</v>
      </c>
      <c r="B33" s="133">
        <v>2019</v>
      </c>
      <c r="C33" s="133" t="s">
        <v>126</v>
      </c>
      <c r="D33" s="133">
        <v>55</v>
      </c>
      <c r="E33" s="133">
        <v>1.1197E-2</v>
      </c>
      <c r="F33" s="133">
        <v>5.4462999999999998E-2</v>
      </c>
      <c r="G33" s="133">
        <v>2.5</v>
      </c>
      <c r="H33" s="133">
        <v>84062</v>
      </c>
      <c r="I33" s="133">
        <v>4578</v>
      </c>
      <c r="J33" s="133">
        <v>408866</v>
      </c>
      <c r="K33" s="133">
        <v>2116968</v>
      </c>
      <c r="L33" s="133">
        <v>25.18</v>
      </c>
    </row>
    <row r="34" spans="1:12" x14ac:dyDescent="0.25">
      <c r="A34" s="133" t="s">
        <v>125</v>
      </c>
      <c r="B34" s="133">
        <v>2019</v>
      </c>
      <c r="C34" s="133" t="s">
        <v>126</v>
      </c>
      <c r="D34" s="133">
        <v>60</v>
      </c>
      <c r="E34" s="133">
        <v>1.5251000000000001E-2</v>
      </c>
      <c r="F34" s="133">
        <v>7.3455999999999994E-2</v>
      </c>
      <c r="G34" s="133">
        <v>2.5</v>
      </c>
      <c r="H34" s="133">
        <v>79484</v>
      </c>
      <c r="I34" s="133">
        <v>5839</v>
      </c>
      <c r="J34" s="133">
        <v>382824</v>
      </c>
      <c r="K34" s="133">
        <v>1708103</v>
      </c>
      <c r="L34" s="133">
        <v>21.49</v>
      </c>
    </row>
    <row r="35" spans="1:12" x14ac:dyDescent="0.25">
      <c r="A35" s="133" t="s">
        <v>125</v>
      </c>
      <c r="B35" s="133">
        <v>2019</v>
      </c>
      <c r="C35" s="133" t="s">
        <v>126</v>
      </c>
      <c r="D35" s="133">
        <v>65</v>
      </c>
      <c r="E35" s="133">
        <v>2.1149000000000001E-2</v>
      </c>
      <c r="F35" s="133">
        <v>0.10043299999999999</v>
      </c>
      <c r="G35" s="133">
        <v>2.5</v>
      </c>
      <c r="H35" s="133">
        <v>73646</v>
      </c>
      <c r="I35" s="133">
        <v>7396</v>
      </c>
      <c r="J35" s="133">
        <v>349736</v>
      </c>
      <c r="K35" s="133">
        <v>1325279</v>
      </c>
      <c r="L35" s="133">
        <v>18</v>
      </c>
    </row>
    <row r="36" spans="1:12" x14ac:dyDescent="0.25">
      <c r="A36" s="133" t="s">
        <v>125</v>
      </c>
      <c r="B36" s="133">
        <v>2019</v>
      </c>
      <c r="C36" s="133" t="s">
        <v>126</v>
      </c>
      <c r="D36" s="133">
        <v>70</v>
      </c>
      <c r="E36" s="133">
        <v>3.1113999999999999E-2</v>
      </c>
      <c r="F36" s="133">
        <v>0.144342</v>
      </c>
      <c r="G36" s="133">
        <v>2.5</v>
      </c>
      <c r="H36" s="133">
        <v>66249</v>
      </c>
      <c r="I36" s="133">
        <v>9563</v>
      </c>
      <c r="J36" s="133">
        <v>307339</v>
      </c>
      <c r="K36" s="133">
        <v>975542</v>
      </c>
      <c r="L36" s="133">
        <v>14.73</v>
      </c>
    </row>
    <row r="37" spans="1:12" x14ac:dyDescent="0.25">
      <c r="A37" s="133" t="s">
        <v>125</v>
      </c>
      <c r="B37" s="133">
        <v>2019</v>
      </c>
      <c r="C37" s="133" t="s">
        <v>126</v>
      </c>
      <c r="D37" s="133">
        <v>75</v>
      </c>
      <c r="E37" s="133">
        <v>4.6723000000000001E-2</v>
      </c>
      <c r="F37" s="133">
        <v>0.20918300000000001</v>
      </c>
      <c r="G37" s="133">
        <v>2.5</v>
      </c>
      <c r="H37" s="133">
        <v>56687</v>
      </c>
      <c r="I37" s="133">
        <v>11858</v>
      </c>
      <c r="J37" s="133">
        <v>253788</v>
      </c>
      <c r="K37" s="133">
        <v>668203</v>
      </c>
      <c r="L37" s="133">
        <v>11.79</v>
      </c>
    </row>
    <row r="38" spans="1:12" x14ac:dyDescent="0.25">
      <c r="A38" s="133" t="s">
        <v>125</v>
      </c>
      <c r="B38" s="133">
        <v>2019</v>
      </c>
      <c r="C38" s="133" t="s">
        <v>126</v>
      </c>
      <c r="D38" s="133">
        <v>80</v>
      </c>
      <c r="E38" s="133">
        <v>7.4360999999999997E-2</v>
      </c>
      <c r="F38" s="133">
        <v>0.31352200000000002</v>
      </c>
      <c r="G38" s="133">
        <v>2.5</v>
      </c>
      <c r="H38" s="133">
        <v>44829</v>
      </c>
      <c r="I38" s="133">
        <v>14055</v>
      </c>
      <c r="J38" s="133">
        <v>189007</v>
      </c>
      <c r="K38" s="133">
        <v>414415</v>
      </c>
      <c r="L38" s="133">
        <v>9.24</v>
      </c>
    </row>
    <row r="39" spans="1:12" x14ac:dyDescent="0.25">
      <c r="A39" s="133" t="s">
        <v>125</v>
      </c>
      <c r="B39" s="133">
        <v>2019</v>
      </c>
      <c r="C39" s="133" t="s">
        <v>126</v>
      </c>
      <c r="D39" s="133">
        <v>85</v>
      </c>
      <c r="E39" s="133">
        <v>0.13652500000000001</v>
      </c>
      <c r="F39" s="133">
        <v>1</v>
      </c>
      <c r="G39" s="133" t="s">
        <v>128</v>
      </c>
      <c r="H39" s="133">
        <v>30774</v>
      </c>
      <c r="I39" s="133">
        <v>30774</v>
      </c>
      <c r="J39" s="133">
        <v>225408</v>
      </c>
      <c r="K39" s="133">
        <v>225408</v>
      </c>
      <c r="L39" s="133">
        <v>7.32</v>
      </c>
    </row>
    <row r="40" spans="1:12" x14ac:dyDescent="0.25">
      <c r="A40" t="s">
        <v>125</v>
      </c>
      <c r="B40">
        <v>2021</v>
      </c>
      <c r="C40" t="s">
        <v>126</v>
      </c>
      <c r="D40">
        <v>0</v>
      </c>
      <c r="E40">
        <v>1.2024E-2</v>
      </c>
      <c r="F40">
        <v>1.1892E-2</v>
      </c>
      <c r="G40">
        <v>0.08</v>
      </c>
      <c r="H40" s="135" t="s">
        <v>127</v>
      </c>
      <c r="I40">
        <v>1189</v>
      </c>
      <c r="J40">
        <v>98903</v>
      </c>
      <c r="K40">
        <v>6763066</v>
      </c>
      <c r="L40">
        <v>67.63</v>
      </c>
    </row>
    <row r="41" spans="1:12" x14ac:dyDescent="0.25">
      <c r="A41" t="s">
        <v>125</v>
      </c>
      <c r="B41">
        <v>2021</v>
      </c>
      <c r="C41" t="s">
        <v>126</v>
      </c>
      <c r="D41">
        <v>1</v>
      </c>
      <c r="E41">
        <v>5.2400000000000005E-4</v>
      </c>
      <c r="F41">
        <v>2.0939999999999999E-3</v>
      </c>
      <c r="G41">
        <v>1.62</v>
      </c>
      <c r="H41">
        <v>98811</v>
      </c>
      <c r="I41">
        <v>207</v>
      </c>
      <c r="J41">
        <v>394750</v>
      </c>
      <c r="K41">
        <v>6664163</v>
      </c>
      <c r="L41">
        <v>67.44</v>
      </c>
    </row>
    <row r="42" spans="1:12" x14ac:dyDescent="0.25">
      <c r="A42" t="s">
        <v>125</v>
      </c>
      <c r="B42">
        <v>2021</v>
      </c>
      <c r="C42" t="s">
        <v>126</v>
      </c>
      <c r="D42">
        <v>5</v>
      </c>
      <c r="E42">
        <v>2.2599999999999999E-4</v>
      </c>
      <c r="F42">
        <v>1.127E-3</v>
      </c>
      <c r="G42">
        <v>2.5</v>
      </c>
      <c r="H42">
        <v>98604</v>
      </c>
      <c r="I42">
        <v>111</v>
      </c>
      <c r="J42">
        <v>492741</v>
      </c>
      <c r="K42">
        <v>6269414</v>
      </c>
      <c r="L42">
        <v>63.58</v>
      </c>
    </row>
    <row r="43" spans="1:12" x14ac:dyDescent="0.25">
      <c r="A43" t="s">
        <v>125</v>
      </c>
      <c r="B43">
        <v>2021</v>
      </c>
      <c r="C43" t="s">
        <v>126</v>
      </c>
      <c r="D43">
        <v>10</v>
      </c>
      <c r="E43">
        <v>3.4200000000000002E-4</v>
      </c>
      <c r="F43">
        <v>1.7099999999999999E-3</v>
      </c>
      <c r="G43">
        <v>2.5</v>
      </c>
      <c r="H43">
        <v>98493</v>
      </c>
      <c r="I43">
        <v>168</v>
      </c>
      <c r="J43">
        <v>492042</v>
      </c>
      <c r="K43">
        <v>5776672</v>
      </c>
      <c r="L43">
        <v>58.65</v>
      </c>
    </row>
    <row r="44" spans="1:12" x14ac:dyDescent="0.25">
      <c r="A44" t="s">
        <v>125</v>
      </c>
      <c r="B44">
        <v>2021</v>
      </c>
      <c r="C44" t="s">
        <v>126</v>
      </c>
      <c r="D44">
        <v>15</v>
      </c>
      <c r="E44">
        <v>1.284E-3</v>
      </c>
      <c r="F44">
        <v>6.3990000000000002E-3</v>
      </c>
      <c r="G44">
        <v>2.5</v>
      </c>
      <c r="H44">
        <v>98324</v>
      </c>
      <c r="I44">
        <v>629</v>
      </c>
      <c r="J44">
        <v>490048</v>
      </c>
      <c r="K44">
        <v>5284630</v>
      </c>
      <c r="L44">
        <v>53.75</v>
      </c>
    </row>
    <row r="45" spans="1:12" x14ac:dyDescent="0.25">
      <c r="A45" t="s">
        <v>125</v>
      </c>
      <c r="B45">
        <v>2021</v>
      </c>
      <c r="C45" t="s">
        <v>126</v>
      </c>
      <c r="D45">
        <v>20</v>
      </c>
      <c r="E45">
        <v>2.4099999999999998E-3</v>
      </c>
      <c r="F45">
        <v>1.1978000000000001E-2</v>
      </c>
      <c r="G45">
        <v>2.5</v>
      </c>
      <c r="H45">
        <v>97695</v>
      </c>
      <c r="I45">
        <v>1170</v>
      </c>
      <c r="J45">
        <v>485549</v>
      </c>
      <c r="K45">
        <v>4794582</v>
      </c>
      <c r="L45">
        <v>49.08</v>
      </c>
    </row>
    <row r="46" spans="1:12" x14ac:dyDescent="0.25">
      <c r="A46" t="s">
        <v>125</v>
      </c>
      <c r="B46">
        <v>2021</v>
      </c>
      <c r="C46" t="s">
        <v>126</v>
      </c>
      <c r="D46">
        <v>25</v>
      </c>
      <c r="E46">
        <v>3.3289999999999999E-3</v>
      </c>
      <c r="F46">
        <v>1.6507000000000001E-2</v>
      </c>
      <c r="G46">
        <v>2.5</v>
      </c>
      <c r="H46">
        <v>96525</v>
      </c>
      <c r="I46">
        <v>1593</v>
      </c>
      <c r="J46">
        <v>478640</v>
      </c>
      <c r="K46">
        <v>4309033</v>
      </c>
      <c r="L46">
        <v>44.64</v>
      </c>
    </row>
    <row r="47" spans="1:12" x14ac:dyDescent="0.25">
      <c r="A47" t="s">
        <v>125</v>
      </c>
      <c r="B47">
        <v>2021</v>
      </c>
      <c r="C47" t="s">
        <v>126</v>
      </c>
      <c r="D47">
        <v>30</v>
      </c>
      <c r="E47">
        <v>4.0699999999999998E-3</v>
      </c>
      <c r="F47">
        <v>2.0147000000000002E-2</v>
      </c>
      <c r="G47">
        <v>2.5</v>
      </c>
      <c r="H47">
        <v>94931</v>
      </c>
      <c r="I47">
        <v>1913</v>
      </c>
      <c r="J47">
        <v>469876</v>
      </c>
      <c r="K47">
        <v>3830393</v>
      </c>
      <c r="L47">
        <v>40.35</v>
      </c>
    </row>
    <row r="48" spans="1:12" x14ac:dyDescent="0.25">
      <c r="A48" t="s">
        <v>125</v>
      </c>
      <c r="B48">
        <v>2021</v>
      </c>
      <c r="C48" t="s">
        <v>126</v>
      </c>
      <c r="D48">
        <v>35</v>
      </c>
      <c r="E48">
        <v>5.1679999999999999E-3</v>
      </c>
      <c r="F48">
        <v>2.5510000000000001E-2</v>
      </c>
      <c r="G48">
        <v>2.5</v>
      </c>
      <c r="H48">
        <v>93019</v>
      </c>
      <c r="I48">
        <v>2373</v>
      </c>
      <c r="J48">
        <v>459162</v>
      </c>
      <c r="K48">
        <v>3360517</v>
      </c>
      <c r="L48">
        <v>36.130000000000003</v>
      </c>
    </row>
    <row r="49" spans="1:12" x14ac:dyDescent="0.25">
      <c r="A49" t="s">
        <v>125</v>
      </c>
      <c r="B49">
        <v>2021</v>
      </c>
      <c r="C49" t="s">
        <v>126</v>
      </c>
      <c r="D49">
        <v>40</v>
      </c>
      <c r="E49">
        <v>6.5989999999999998E-3</v>
      </c>
      <c r="F49">
        <v>3.2458000000000001E-2</v>
      </c>
      <c r="G49">
        <v>2.5</v>
      </c>
      <c r="H49">
        <v>90646</v>
      </c>
      <c r="I49">
        <v>2942</v>
      </c>
      <c r="J49">
        <v>445874</v>
      </c>
      <c r="K49">
        <v>2901355</v>
      </c>
      <c r="L49">
        <v>32.01</v>
      </c>
    </row>
    <row r="50" spans="1:12" x14ac:dyDescent="0.25">
      <c r="A50" t="s">
        <v>125</v>
      </c>
      <c r="B50">
        <v>2021</v>
      </c>
      <c r="C50" t="s">
        <v>126</v>
      </c>
      <c r="D50">
        <v>45</v>
      </c>
      <c r="E50">
        <v>9.4249999999999994E-3</v>
      </c>
      <c r="F50">
        <v>4.6039999999999998E-2</v>
      </c>
      <c r="G50">
        <v>2.5</v>
      </c>
      <c r="H50">
        <v>87704</v>
      </c>
      <c r="I50">
        <v>4038</v>
      </c>
      <c r="J50">
        <v>428424</v>
      </c>
      <c r="K50">
        <v>2455481</v>
      </c>
      <c r="L50">
        <v>28</v>
      </c>
    </row>
    <row r="51" spans="1:12" x14ac:dyDescent="0.25">
      <c r="A51" t="s">
        <v>125</v>
      </c>
      <c r="B51">
        <v>2021</v>
      </c>
      <c r="C51" t="s">
        <v>126</v>
      </c>
      <c r="D51">
        <v>50</v>
      </c>
      <c r="E51">
        <v>1.2493000000000001E-2</v>
      </c>
      <c r="F51">
        <v>6.0573000000000002E-2</v>
      </c>
      <c r="G51">
        <v>2.5</v>
      </c>
      <c r="H51">
        <v>83666</v>
      </c>
      <c r="I51">
        <v>5068</v>
      </c>
      <c r="J51">
        <v>405660</v>
      </c>
      <c r="K51">
        <v>2027057</v>
      </c>
      <c r="L51">
        <v>24.23</v>
      </c>
    </row>
    <row r="52" spans="1:12" x14ac:dyDescent="0.25">
      <c r="A52" t="s">
        <v>125</v>
      </c>
      <c r="B52">
        <v>2021</v>
      </c>
      <c r="C52" t="s">
        <v>126</v>
      </c>
      <c r="D52">
        <v>55</v>
      </c>
      <c r="E52">
        <v>1.8544000000000001E-2</v>
      </c>
      <c r="F52">
        <v>8.8609999999999994E-2</v>
      </c>
      <c r="G52">
        <v>2.5</v>
      </c>
      <c r="H52">
        <v>78598</v>
      </c>
      <c r="I52">
        <v>6965</v>
      </c>
      <c r="J52">
        <v>375578</v>
      </c>
      <c r="K52">
        <v>1621397</v>
      </c>
      <c r="L52">
        <v>20.63</v>
      </c>
    </row>
    <row r="53" spans="1:12" x14ac:dyDescent="0.25">
      <c r="A53" t="s">
        <v>125</v>
      </c>
      <c r="B53">
        <v>2021</v>
      </c>
      <c r="C53" t="s">
        <v>126</v>
      </c>
      <c r="D53">
        <v>60</v>
      </c>
      <c r="E53">
        <v>2.5204000000000001E-2</v>
      </c>
      <c r="F53">
        <v>0.118552</v>
      </c>
      <c r="G53">
        <v>2.5</v>
      </c>
      <c r="H53">
        <v>71633</v>
      </c>
      <c r="I53">
        <v>8492</v>
      </c>
      <c r="J53">
        <v>336936</v>
      </c>
      <c r="K53">
        <v>1245819</v>
      </c>
      <c r="L53">
        <v>17.39</v>
      </c>
    </row>
    <row r="54" spans="1:12" x14ac:dyDescent="0.25">
      <c r="A54" t="s">
        <v>125</v>
      </c>
      <c r="B54">
        <v>2021</v>
      </c>
      <c r="C54" t="s">
        <v>126</v>
      </c>
      <c r="D54">
        <v>65</v>
      </c>
      <c r="E54">
        <v>3.5681999999999998E-2</v>
      </c>
      <c r="F54">
        <v>0.163799</v>
      </c>
      <c r="G54">
        <v>2.5</v>
      </c>
      <c r="H54">
        <v>63141</v>
      </c>
      <c r="I54">
        <v>10342</v>
      </c>
      <c r="J54">
        <v>289849</v>
      </c>
      <c r="K54">
        <v>908883</v>
      </c>
      <c r="L54">
        <v>14.39</v>
      </c>
    </row>
    <row r="55" spans="1:12" x14ac:dyDescent="0.25">
      <c r="A55" t="s">
        <v>125</v>
      </c>
      <c r="B55">
        <v>2021</v>
      </c>
      <c r="C55" t="s">
        <v>126</v>
      </c>
      <c r="D55">
        <v>70</v>
      </c>
      <c r="E55">
        <v>5.0168999999999998E-2</v>
      </c>
      <c r="F55">
        <v>0.222889</v>
      </c>
      <c r="G55">
        <v>2.5</v>
      </c>
      <c r="H55">
        <v>52799</v>
      </c>
      <c r="I55">
        <v>11768</v>
      </c>
      <c r="J55">
        <v>234573</v>
      </c>
      <c r="K55">
        <v>619033</v>
      </c>
      <c r="L55">
        <v>11.72</v>
      </c>
    </row>
    <row r="56" spans="1:12" x14ac:dyDescent="0.25">
      <c r="A56" t="s">
        <v>125</v>
      </c>
      <c r="B56">
        <v>2021</v>
      </c>
      <c r="C56" t="s">
        <v>126</v>
      </c>
      <c r="D56">
        <v>75</v>
      </c>
      <c r="E56">
        <v>7.0388999999999993E-2</v>
      </c>
      <c r="F56">
        <v>0.29927900000000002</v>
      </c>
      <c r="G56">
        <v>2.5</v>
      </c>
      <c r="H56">
        <v>41030</v>
      </c>
      <c r="I56">
        <v>12280</v>
      </c>
      <c r="J56">
        <v>174453</v>
      </c>
      <c r="K56">
        <v>384460</v>
      </c>
      <c r="L56">
        <v>9.3699999999999992</v>
      </c>
    </row>
    <row r="57" spans="1:12" x14ac:dyDescent="0.25">
      <c r="A57" t="s">
        <v>125</v>
      </c>
      <c r="B57">
        <v>2021</v>
      </c>
      <c r="C57" t="s">
        <v>126</v>
      </c>
      <c r="D57">
        <v>80</v>
      </c>
      <c r="E57">
        <v>0.10335800000000001</v>
      </c>
      <c r="F57">
        <v>0.41067500000000001</v>
      </c>
      <c r="G57">
        <v>2.5</v>
      </c>
      <c r="H57">
        <v>28751</v>
      </c>
      <c r="I57">
        <v>11807</v>
      </c>
      <c r="J57">
        <v>114236</v>
      </c>
      <c r="K57">
        <v>210007</v>
      </c>
      <c r="L57">
        <v>7.3</v>
      </c>
    </row>
    <row r="58" spans="1:12" x14ac:dyDescent="0.25">
      <c r="A58" t="s">
        <v>125</v>
      </c>
      <c r="B58">
        <v>2021</v>
      </c>
      <c r="C58" t="s">
        <v>126</v>
      </c>
      <c r="D58">
        <v>85</v>
      </c>
      <c r="E58">
        <v>0.17691899999999999</v>
      </c>
      <c r="F58">
        <v>1</v>
      </c>
      <c r="G58" t="s">
        <v>128</v>
      </c>
      <c r="H58">
        <v>16944</v>
      </c>
      <c r="I58">
        <v>16944</v>
      </c>
      <c r="J58">
        <v>95771</v>
      </c>
      <c r="K58">
        <v>95771</v>
      </c>
      <c r="L58">
        <v>5.65</v>
      </c>
    </row>
    <row r="59" spans="1:12" x14ac:dyDescent="0.25">
      <c r="A59" t="s">
        <v>125</v>
      </c>
      <c r="B59">
        <v>2010</v>
      </c>
      <c r="C59" t="s">
        <v>129</v>
      </c>
      <c r="D59">
        <v>0</v>
      </c>
      <c r="E59">
        <v>1.2976E-2</v>
      </c>
      <c r="F59">
        <v>1.2824E-2</v>
      </c>
      <c r="G59">
        <v>0.09</v>
      </c>
      <c r="H59" s="135" t="s">
        <v>127</v>
      </c>
      <c r="I59">
        <v>1282</v>
      </c>
      <c r="J59">
        <v>98832</v>
      </c>
      <c r="K59">
        <v>7828309</v>
      </c>
      <c r="L59">
        <v>78.28</v>
      </c>
    </row>
    <row r="60" spans="1:12" x14ac:dyDescent="0.25">
      <c r="A60" t="s">
        <v>125</v>
      </c>
      <c r="B60">
        <v>2010</v>
      </c>
      <c r="C60" t="s">
        <v>129</v>
      </c>
      <c r="D60">
        <v>1</v>
      </c>
      <c r="E60">
        <v>6.1399999999999996E-4</v>
      </c>
      <c r="F60">
        <v>2.4520000000000002E-3</v>
      </c>
      <c r="G60">
        <v>1.5</v>
      </c>
      <c r="H60">
        <v>98718</v>
      </c>
      <c r="I60">
        <v>242</v>
      </c>
      <c r="J60">
        <v>394266</v>
      </c>
      <c r="K60">
        <v>7729477</v>
      </c>
      <c r="L60">
        <v>78.3</v>
      </c>
    </row>
    <row r="61" spans="1:12" x14ac:dyDescent="0.25">
      <c r="A61" t="s">
        <v>125</v>
      </c>
      <c r="B61">
        <v>2010</v>
      </c>
      <c r="C61" t="s">
        <v>129</v>
      </c>
      <c r="D61">
        <v>5</v>
      </c>
      <c r="E61">
        <v>2.42E-4</v>
      </c>
      <c r="F61">
        <v>1.2080000000000001E-3</v>
      </c>
      <c r="G61">
        <v>2.5</v>
      </c>
      <c r="H61">
        <v>98476</v>
      </c>
      <c r="I61">
        <v>119</v>
      </c>
      <c r="J61">
        <v>492080</v>
      </c>
      <c r="K61">
        <v>7335211</v>
      </c>
      <c r="L61">
        <v>74.489999999999995</v>
      </c>
    </row>
    <row r="62" spans="1:12" x14ac:dyDescent="0.25">
      <c r="A62" t="s">
        <v>125</v>
      </c>
      <c r="B62">
        <v>2010</v>
      </c>
      <c r="C62" t="s">
        <v>129</v>
      </c>
      <c r="D62">
        <v>10</v>
      </c>
      <c r="E62">
        <v>2.7399999999999999E-4</v>
      </c>
      <c r="F62">
        <v>1.3669999999999999E-3</v>
      </c>
      <c r="G62">
        <v>2.5</v>
      </c>
      <c r="H62">
        <v>98357</v>
      </c>
      <c r="I62">
        <v>134</v>
      </c>
      <c r="J62">
        <v>491447</v>
      </c>
      <c r="K62">
        <v>6843130</v>
      </c>
      <c r="L62">
        <v>69.569999999999993</v>
      </c>
    </row>
    <row r="63" spans="1:12" x14ac:dyDescent="0.25">
      <c r="A63" t="s">
        <v>125</v>
      </c>
      <c r="B63">
        <v>2010</v>
      </c>
      <c r="C63" t="s">
        <v>129</v>
      </c>
      <c r="D63">
        <v>15</v>
      </c>
      <c r="E63">
        <v>5.0500000000000002E-4</v>
      </c>
      <c r="F63">
        <v>2.5240000000000002E-3</v>
      </c>
      <c r="G63">
        <v>2.5</v>
      </c>
      <c r="H63">
        <v>98222</v>
      </c>
      <c r="I63">
        <v>248</v>
      </c>
      <c r="J63">
        <v>490491</v>
      </c>
      <c r="K63">
        <v>6351683</v>
      </c>
      <c r="L63">
        <v>64.67</v>
      </c>
    </row>
    <row r="64" spans="1:12" x14ac:dyDescent="0.25">
      <c r="A64" t="s">
        <v>125</v>
      </c>
      <c r="B64">
        <v>2010</v>
      </c>
      <c r="C64" t="s">
        <v>129</v>
      </c>
      <c r="D64">
        <v>20</v>
      </c>
      <c r="E64">
        <v>5.9800000000000001E-4</v>
      </c>
      <c r="F64">
        <v>2.983E-3</v>
      </c>
      <c r="G64">
        <v>2.5</v>
      </c>
      <c r="H64">
        <v>97974</v>
      </c>
      <c r="I64">
        <v>292</v>
      </c>
      <c r="J64">
        <v>489140</v>
      </c>
      <c r="K64">
        <v>5861193</v>
      </c>
      <c r="L64">
        <v>59.82</v>
      </c>
    </row>
    <row r="65" spans="1:12" x14ac:dyDescent="0.25">
      <c r="A65" t="s">
        <v>125</v>
      </c>
      <c r="B65">
        <v>2010</v>
      </c>
      <c r="C65" t="s">
        <v>129</v>
      </c>
      <c r="D65">
        <v>25</v>
      </c>
      <c r="E65">
        <v>7.0399999999999998E-4</v>
      </c>
      <c r="F65">
        <v>3.516E-3</v>
      </c>
      <c r="G65">
        <v>2.5</v>
      </c>
      <c r="H65">
        <v>97682</v>
      </c>
      <c r="I65">
        <v>343</v>
      </c>
      <c r="J65">
        <v>487551</v>
      </c>
      <c r="K65">
        <v>5372052</v>
      </c>
      <c r="L65">
        <v>55</v>
      </c>
    </row>
    <row r="66" spans="1:12" x14ac:dyDescent="0.25">
      <c r="A66" t="s">
        <v>125</v>
      </c>
      <c r="B66">
        <v>2010</v>
      </c>
      <c r="C66" t="s">
        <v>129</v>
      </c>
      <c r="D66">
        <v>30</v>
      </c>
      <c r="E66">
        <v>8.4599999999999996E-4</v>
      </c>
      <c r="F66">
        <v>4.2199999999999998E-3</v>
      </c>
      <c r="G66">
        <v>2.5</v>
      </c>
      <c r="H66">
        <v>97339</v>
      </c>
      <c r="I66">
        <v>411</v>
      </c>
      <c r="J66">
        <v>485666</v>
      </c>
      <c r="K66">
        <v>4884501</v>
      </c>
      <c r="L66">
        <v>50.18</v>
      </c>
    </row>
    <row r="67" spans="1:12" x14ac:dyDescent="0.25">
      <c r="A67" t="s">
        <v>125</v>
      </c>
      <c r="B67">
        <v>2010</v>
      </c>
      <c r="C67" t="s">
        <v>129</v>
      </c>
      <c r="D67">
        <v>35</v>
      </c>
      <c r="E67">
        <v>1.122E-3</v>
      </c>
      <c r="F67">
        <v>5.5950000000000001E-3</v>
      </c>
      <c r="G67">
        <v>2.5</v>
      </c>
      <c r="H67">
        <v>96928</v>
      </c>
      <c r="I67">
        <v>542</v>
      </c>
      <c r="J67">
        <v>483283</v>
      </c>
      <c r="K67">
        <v>4398835</v>
      </c>
      <c r="L67">
        <v>45.38</v>
      </c>
    </row>
    <row r="68" spans="1:12" x14ac:dyDescent="0.25">
      <c r="A68" t="s">
        <v>125</v>
      </c>
      <c r="B68">
        <v>2010</v>
      </c>
      <c r="C68" t="s">
        <v>129</v>
      </c>
      <c r="D68">
        <v>40</v>
      </c>
      <c r="E68">
        <v>1.694E-3</v>
      </c>
      <c r="F68">
        <v>8.4340000000000005E-3</v>
      </c>
      <c r="G68">
        <v>2.5</v>
      </c>
      <c r="H68">
        <v>96385</v>
      </c>
      <c r="I68">
        <v>813</v>
      </c>
      <c r="J68">
        <v>479895</v>
      </c>
      <c r="K68">
        <v>3915552</v>
      </c>
      <c r="L68">
        <v>40.619999999999997</v>
      </c>
    </row>
    <row r="69" spans="1:12" x14ac:dyDescent="0.25">
      <c r="A69" t="s">
        <v>125</v>
      </c>
      <c r="B69">
        <v>2010</v>
      </c>
      <c r="C69" t="s">
        <v>129</v>
      </c>
      <c r="D69">
        <v>45</v>
      </c>
      <c r="E69">
        <v>2.823E-3</v>
      </c>
      <c r="F69">
        <v>1.4016000000000001E-2</v>
      </c>
      <c r="G69">
        <v>2.5</v>
      </c>
      <c r="H69">
        <v>95573</v>
      </c>
      <c r="I69">
        <v>1340</v>
      </c>
      <c r="J69">
        <v>474514</v>
      </c>
      <c r="K69">
        <v>3435657</v>
      </c>
      <c r="L69">
        <v>35.950000000000003</v>
      </c>
    </row>
    <row r="70" spans="1:12" x14ac:dyDescent="0.25">
      <c r="A70" t="s">
        <v>125</v>
      </c>
      <c r="B70">
        <v>2010</v>
      </c>
      <c r="C70" t="s">
        <v>129</v>
      </c>
      <c r="D70">
        <v>50</v>
      </c>
      <c r="E70">
        <v>4.3909999999999999E-3</v>
      </c>
      <c r="F70">
        <v>2.1718999999999999E-2</v>
      </c>
      <c r="G70">
        <v>2.5</v>
      </c>
      <c r="H70">
        <v>94233</v>
      </c>
      <c r="I70">
        <v>2047</v>
      </c>
      <c r="J70">
        <v>466049</v>
      </c>
      <c r="K70">
        <v>2961143</v>
      </c>
      <c r="L70">
        <v>31.42</v>
      </c>
    </row>
    <row r="71" spans="1:12" x14ac:dyDescent="0.25">
      <c r="A71" t="s">
        <v>125</v>
      </c>
      <c r="B71">
        <v>2010</v>
      </c>
      <c r="C71" t="s">
        <v>129</v>
      </c>
      <c r="D71">
        <v>55</v>
      </c>
      <c r="E71">
        <v>7.2100000000000003E-3</v>
      </c>
      <c r="F71">
        <v>3.5411999999999999E-2</v>
      </c>
      <c r="G71">
        <v>2.5</v>
      </c>
      <c r="H71">
        <v>92186</v>
      </c>
      <c r="I71">
        <v>3264</v>
      </c>
      <c r="J71">
        <v>452771</v>
      </c>
      <c r="K71">
        <v>2495095</v>
      </c>
      <c r="L71">
        <v>27.07</v>
      </c>
    </row>
    <row r="72" spans="1:12" x14ac:dyDescent="0.25">
      <c r="A72" t="s">
        <v>125</v>
      </c>
      <c r="B72">
        <v>2010</v>
      </c>
      <c r="C72" t="s">
        <v>129</v>
      </c>
      <c r="D72">
        <v>60</v>
      </c>
      <c r="E72">
        <v>1.0880000000000001E-2</v>
      </c>
      <c r="F72">
        <v>5.2957999999999998E-2</v>
      </c>
      <c r="G72">
        <v>2.5</v>
      </c>
      <c r="H72">
        <v>88922</v>
      </c>
      <c r="I72">
        <v>4709</v>
      </c>
      <c r="J72">
        <v>432837</v>
      </c>
      <c r="K72">
        <v>2042324</v>
      </c>
      <c r="L72">
        <v>22.97</v>
      </c>
    </row>
    <row r="73" spans="1:12" x14ac:dyDescent="0.25">
      <c r="A73" t="s">
        <v>125</v>
      </c>
      <c r="B73">
        <v>2010</v>
      </c>
      <c r="C73" t="s">
        <v>129</v>
      </c>
      <c r="D73">
        <v>65</v>
      </c>
      <c r="E73">
        <v>1.6990999999999999E-2</v>
      </c>
      <c r="F73">
        <v>8.1494999999999998E-2</v>
      </c>
      <c r="G73">
        <v>2.5</v>
      </c>
      <c r="H73">
        <v>84213</v>
      </c>
      <c r="I73">
        <v>6863</v>
      </c>
      <c r="J73">
        <v>403907</v>
      </c>
      <c r="K73">
        <v>1609487</v>
      </c>
      <c r="L73">
        <v>19.11</v>
      </c>
    </row>
    <row r="74" spans="1:12" x14ac:dyDescent="0.25">
      <c r="A74" t="s">
        <v>125</v>
      </c>
      <c r="B74">
        <v>2010</v>
      </c>
      <c r="C74" t="s">
        <v>129</v>
      </c>
      <c r="D74">
        <v>70</v>
      </c>
      <c r="E74">
        <v>2.4614E-2</v>
      </c>
      <c r="F74">
        <v>0.115937</v>
      </c>
      <c r="G74">
        <v>2.5</v>
      </c>
      <c r="H74">
        <v>77350</v>
      </c>
      <c r="I74">
        <v>8968</v>
      </c>
      <c r="J74">
        <v>364330</v>
      </c>
      <c r="K74">
        <v>1205580</v>
      </c>
      <c r="L74">
        <v>15.59</v>
      </c>
    </row>
    <row r="75" spans="1:12" x14ac:dyDescent="0.25">
      <c r="A75" t="s">
        <v>125</v>
      </c>
      <c r="B75">
        <v>2010</v>
      </c>
      <c r="C75" t="s">
        <v>129</v>
      </c>
      <c r="D75">
        <v>75</v>
      </c>
      <c r="E75">
        <v>4.2520000000000002E-2</v>
      </c>
      <c r="F75">
        <v>0.19217300000000001</v>
      </c>
      <c r="G75">
        <v>2.5</v>
      </c>
      <c r="H75">
        <v>68382</v>
      </c>
      <c r="I75">
        <v>13141</v>
      </c>
      <c r="J75">
        <v>309058</v>
      </c>
      <c r="K75">
        <v>841250</v>
      </c>
      <c r="L75">
        <v>12.3</v>
      </c>
    </row>
    <row r="76" spans="1:12" x14ac:dyDescent="0.25">
      <c r="A76" t="s">
        <v>125</v>
      </c>
      <c r="B76">
        <v>2010</v>
      </c>
      <c r="C76" t="s">
        <v>129</v>
      </c>
      <c r="D76">
        <v>80</v>
      </c>
      <c r="E76">
        <v>6.6491999999999996E-2</v>
      </c>
      <c r="F76">
        <v>0.28507100000000002</v>
      </c>
      <c r="G76">
        <v>2.5</v>
      </c>
      <c r="H76">
        <v>55241</v>
      </c>
      <c r="I76">
        <v>15748</v>
      </c>
      <c r="J76">
        <v>236836</v>
      </c>
      <c r="K76">
        <v>532192</v>
      </c>
      <c r="L76">
        <v>9.6300000000000008</v>
      </c>
    </row>
    <row r="77" spans="1:12" x14ac:dyDescent="0.25">
      <c r="A77" t="s">
        <v>125</v>
      </c>
      <c r="B77">
        <v>2010</v>
      </c>
      <c r="C77" t="s">
        <v>129</v>
      </c>
      <c r="D77">
        <v>85</v>
      </c>
      <c r="E77">
        <v>0.133714</v>
      </c>
      <c r="F77">
        <v>1</v>
      </c>
      <c r="G77" t="s">
        <v>128</v>
      </c>
      <c r="H77">
        <v>39493</v>
      </c>
      <c r="I77">
        <v>39493</v>
      </c>
      <c r="J77">
        <v>295356</v>
      </c>
      <c r="K77">
        <v>295356</v>
      </c>
      <c r="L77">
        <v>7.48</v>
      </c>
    </row>
    <row r="78" spans="1:12" x14ac:dyDescent="0.25">
      <c r="A78" s="134" t="s">
        <v>125</v>
      </c>
      <c r="B78" s="134">
        <v>2019</v>
      </c>
      <c r="C78" s="134" t="s">
        <v>129</v>
      </c>
      <c r="D78" s="134">
        <v>0</v>
      </c>
      <c r="E78" s="134">
        <v>1.1322E-2</v>
      </c>
      <c r="F78" s="134">
        <v>1.1206000000000001E-2</v>
      </c>
      <c r="G78" s="134">
        <v>0.08</v>
      </c>
      <c r="H78" s="137" t="s">
        <v>127</v>
      </c>
      <c r="I78" s="134">
        <v>1121</v>
      </c>
      <c r="J78" s="134">
        <v>98974</v>
      </c>
      <c r="K78" s="134">
        <v>7937292</v>
      </c>
      <c r="L78" s="134">
        <v>79.37</v>
      </c>
    </row>
    <row r="79" spans="1:12" x14ac:dyDescent="0.25">
      <c r="A79" s="134" t="s">
        <v>125</v>
      </c>
      <c r="B79" s="134">
        <v>2019</v>
      </c>
      <c r="C79" s="134" t="s">
        <v>129</v>
      </c>
      <c r="D79" s="134">
        <v>1</v>
      </c>
      <c r="E79" s="134">
        <v>5.2400000000000005E-4</v>
      </c>
      <c r="F79" s="134">
        <v>2.0939999999999999E-3</v>
      </c>
      <c r="G79" s="134">
        <v>1.5</v>
      </c>
      <c r="H79" s="134">
        <v>98879</v>
      </c>
      <c r="I79" s="134">
        <v>207</v>
      </c>
      <c r="J79" s="134">
        <v>395001</v>
      </c>
      <c r="K79" s="134">
        <v>7838317</v>
      </c>
      <c r="L79" s="134">
        <v>79.27</v>
      </c>
    </row>
    <row r="80" spans="1:12" x14ac:dyDescent="0.25">
      <c r="A80" s="134" t="s">
        <v>125</v>
      </c>
      <c r="B80" s="134">
        <v>2019</v>
      </c>
      <c r="C80" s="134" t="s">
        <v>129</v>
      </c>
      <c r="D80" s="134">
        <v>5</v>
      </c>
      <c r="E80" s="134">
        <v>2.13E-4</v>
      </c>
      <c r="F80" s="134">
        <v>1.0640000000000001E-3</v>
      </c>
      <c r="G80" s="134">
        <v>2.5</v>
      </c>
      <c r="H80" s="134">
        <v>98672</v>
      </c>
      <c r="I80" s="134">
        <v>105</v>
      </c>
      <c r="J80" s="134">
        <v>493099</v>
      </c>
      <c r="K80" s="134">
        <v>7443317</v>
      </c>
      <c r="L80" s="134">
        <v>75.430000000000007</v>
      </c>
    </row>
    <row r="81" spans="1:12" x14ac:dyDescent="0.25">
      <c r="A81" s="134" t="s">
        <v>125</v>
      </c>
      <c r="B81" s="134">
        <v>2019</v>
      </c>
      <c r="C81" s="134" t="s">
        <v>129</v>
      </c>
      <c r="D81" s="134">
        <v>10</v>
      </c>
      <c r="E81" s="134">
        <v>2.42E-4</v>
      </c>
      <c r="F81" s="134">
        <v>1.2099999999999999E-3</v>
      </c>
      <c r="G81" s="134">
        <v>2.5</v>
      </c>
      <c r="H81" s="134">
        <v>98567</v>
      </c>
      <c r="I81" s="134">
        <v>119</v>
      </c>
      <c r="J81" s="134">
        <v>492538</v>
      </c>
      <c r="K81" s="134">
        <v>6950217</v>
      </c>
      <c r="L81" s="134">
        <v>70.510000000000005</v>
      </c>
    </row>
    <row r="82" spans="1:12" x14ac:dyDescent="0.25">
      <c r="A82" s="134" t="s">
        <v>125</v>
      </c>
      <c r="B82" s="134">
        <v>2019</v>
      </c>
      <c r="C82" s="134" t="s">
        <v>129</v>
      </c>
      <c r="D82" s="134">
        <v>15</v>
      </c>
      <c r="E82" s="134">
        <v>4.64E-4</v>
      </c>
      <c r="F82" s="134">
        <v>2.3159999999999999E-3</v>
      </c>
      <c r="G82" s="134">
        <v>2.5</v>
      </c>
      <c r="H82" s="134">
        <v>98448</v>
      </c>
      <c r="I82" s="134">
        <v>228</v>
      </c>
      <c r="J82" s="134">
        <v>491670</v>
      </c>
      <c r="K82" s="134">
        <v>6457679</v>
      </c>
      <c r="L82" s="134">
        <v>65.59</v>
      </c>
    </row>
    <row r="83" spans="1:12" x14ac:dyDescent="0.25">
      <c r="A83" s="134" t="s">
        <v>125</v>
      </c>
      <c r="B83" s="134">
        <v>2019</v>
      </c>
      <c r="C83" s="134" t="s">
        <v>129</v>
      </c>
      <c r="D83" s="134">
        <v>20</v>
      </c>
      <c r="E83" s="134">
        <v>6.0700000000000001E-4</v>
      </c>
      <c r="F83" s="134">
        <v>3.0309999999999998E-3</v>
      </c>
      <c r="G83" s="134">
        <v>2.5</v>
      </c>
      <c r="H83" s="134">
        <v>98220</v>
      </c>
      <c r="I83" s="134">
        <v>298</v>
      </c>
      <c r="J83" s="134">
        <v>490356</v>
      </c>
      <c r="K83" s="134">
        <v>5966009</v>
      </c>
      <c r="L83" s="134">
        <v>60.74</v>
      </c>
    </row>
    <row r="84" spans="1:12" x14ac:dyDescent="0.25">
      <c r="A84" s="134" t="s">
        <v>125</v>
      </c>
      <c r="B84" s="134">
        <v>2019</v>
      </c>
      <c r="C84" s="134" t="s">
        <v>129</v>
      </c>
      <c r="D84" s="134">
        <v>25</v>
      </c>
      <c r="E84" s="134">
        <v>7.3899999999999997E-4</v>
      </c>
      <c r="F84" s="134">
        <v>3.6870000000000002E-3</v>
      </c>
      <c r="G84" s="134">
        <v>2.5</v>
      </c>
      <c r="H84" s="134">
        <v>97922</v>
      </c>
      <c r="I84" s="134">
        <v>361</v>
      </c>
      <c r="J84" s="134">
        <v>488709</v>
      </c>
      <c r="K84" s="134">
        <v>5475653</v>
      </c>
      <c r="L84" s="134">
        <v>55.92</v>
      </c>
    </row>
    <row r="85" spans="1:12" x14ac:dyDescent="0.25">
      <c r="A85" s="134" t="s">
        <v>125</v>
      </c>
      <c r="B85" s="134">
        <v>2019</v>
      </c>
      <c r="C85" s="134" t="s">
        <v>129</v>
      </c>
      <c r="D85" s="134">
        <v>30</v>
      </c>
      <c r="E85" s="134">
        <v>8.8999999999999995E-4</v>
      </c>
      <c r="F85" s="134">
        <v>4.4380000000000001E-3</v>
      </c>
      <c r="G85" s="134">
        <v>2.5</v>
      </c>
      <c r="H85" s="134">
        <v>97561</v>
      </c>
      <c r="I85" s="134">
        <v>433</v>
      </c>
      <c r="J85" s="134">
        <v>486724</v>
      </c>
      <c r="K85" s="134">
        <v>4986945</v>
      </c>
      <c r="L85" s="134">
        <v>51.12</v>
      </c>
    </row>
    <row r="86" spans="1:12" x14ac:dyDescent="0.25">
      <c r="A86" s="134" t="s">
        <v>125</v>
      </c>
      <c r="B86" s="134">
        <v>2019</v>
      </c>
      <c r="C86" s="134" t="s">
        <v>129</v>
      </c>
      <c r="D86" s="134">
        <v>35</v>
      </c>
      <c r="E86" s="134">
        <v>1.1869999999999999E-3</v>
      </c>
      <c r="F86" s="134">
        <v>5.9170000000000004E-3</v>
      </c>
      <c r="G86" s="134">
        <v>2.5</v>
      </c>
      <c r="H86" s="134">
        <v>97128</v>
      </c>
      <c r="I86" s="134">
        <v>575</v>
      </c>
      <c r="J86" s="134">
        <v>484204</v>
      </c>
      <c r="K86" s="134">
        <v>4500221</v>
      </c>
      <c r="L86" s="134">
        <v>46.33</v>
      </c>
    </row>
    <row r="87" spans="1:12" x14ac:dyDescent="0.25">
      <c r="A87" s="134" t="s">
        <v>125</v>
      </c>
      <c r="B87" s="134">
        <v>2019</v>
      </c>
      <c r="C87" s="134" t="s">
        <v>129</v>
      </c>
      <c r="D87" s="134">
        <v>40</v>
      </c>
      <c r="E87" s="134">
        <v>1.766E-3</v>
      </c>
      <c r="F87" s="134">
        <v>8.7889999999999999E-3</v>
      </c>
      <c r="G87" s="134">
        <v>2.5</v>
      </c>
      <c r="H87" s="134">
        <v>96554</v>
      </c>
      <c r="I87" s="134">
        <v>849</v>
      </c>
      <c r="J87" s="134">
        <v>480646</v>
      </c>
      <c r="K87" s="134">
        <v>4016017</v>
      </c>
      <c r="L87" s="134">
        <v>41.59</v>
      </c>
    </row>
    <row r="88" spans="1:12" x14ac:dyDescent="0.25">
      <c r="A88" s="134" t="s">
        <v>125</v>
      </c>
      <c r="B88" s="134">
        <v>2019</v>
      </c>
      <c r="C88" s="134" t="s">
        <v>129</v>
      </c>
      <c r="D88" s="134">
        <v>45</v>
      </c>
      <c r="E88" s="134">
        <v>2.7169999999999998E-3</v>
      </c>
      <c r="F88" s="134">
        <v>1.3494000000000001E-2</v>
      </c>
      <c r="G88" s="134">
        <v>2.5</v>
      </c>
      <c r="H88" s="134">
        <v>95705</v>
      </c>
      <c r="I88" s="134">
        <v>1291</v>
      </c>
      <c r="J88" s="134">
        <v>475296</v>
      </c>
      <c r="K88" s="134">
        <v>3535371</v>
      </c>
      <c r="L88" s="134">
        <v>36.94</v>
      </c>
    </row>
    <row r="89" spans="1:12" x14ac:dyDescent="0.25">
      <c r="A89" s="134" t="s">
        <v>125</v>
      </c>
      <c r="B89" s="134">
        <v>2019</v>
      </c>
      <c r="C89" s="134" t="s">
        <v>129</v>
      </c>
      <c r="D89" s="134">
        <v>50</v>
      </c>
      <c r="E89" s="134">
        <v>4.0730000000000002E-3</v>
      </c>
      <c r="F89" s="134">
        <v>2.0159E-2</v>
      </c>
      <c r="G89" s="134">
        <v>2.5</v>
      </c>
      <c r="H89" s="134">
        <v>94413</v>
      </c>
      <c r="I89" s="134">
        <v>1903</v>
      </c>
      <c r="J89" s="134">
        <v>467309</v>
      </c>
      <c r="K89" s="134">
        <v>3060075</v>
      </c>
      <c r="L89" s="134">
        <v>32.409999999999997</v>
      </c>
    </row>
    <row r="90" spans="1:12" x14ac:dyDescent="0.25">
      <c r="A90" s="134" t="s">
        <v>125</v>
      </c>
      <c r="B90" s="134">
        <v>2019</v>
      </c>
      <c r="C90" s="134" t="s">
        <v>129</v>
      </c>
      <c r="D90" s="134">
        <v>55</v>
      </c>
      <c r="E90" s="134">
        <v>6.7559999999999999E-3</v>
      </c>
      <c r="F90" s="134">
        <v>3.3218999999999999E-2</v>
      </c>
      <c r="G90" s="134">
        <v>2.5</v>
      </c>
      <c r="H90" s="134">
        <v>92510</v>
      </c>
      <c r="I90" s="134">
        <v>3073</v>
      </c>
      <c r="J90" s="134">
        <v>454868</v>
      </c>
      <c r="K90" s="134">
        <v>2592766</v>
      </c>
      <c r="L90" s="134">
        <v>28.03</v>
      </c>
    </row>
    <row r="91" spans="1:12" x14ac:dyDescent="0.25">
      <c r="A91" s="134" t="s">
        <v>125</v>
      </c>
      <c r="B91" s="134">
        <v>2019</v>
      </c>
      <c r="C91" s="134" t="s">
        <v>129</v>
      </c>
      <c r="D91" s="134">
        <v>60</v>
      </c>
      <c r="E91" s="134">
        <v>9.8709999999999996E-3</v>
      </c>
      <c r="F91" s="134">
        <v>4.8168000000000002E-2</v>
      </c>
      <c r="G91" s="134">
        <v>2.5</v>
      </c>
      <c r="H91" s="134">
        <v>89437</v>
      </c>
      <c r="I91" s="134">
        <v>4308</v>
      </c>
      <c r="J91" s="134">
        <v>436416</v>
      </c>
      <c r="K91" s="134">
        <v>2137898</v>
      </c>
      <c r="L91" s="134">
        <v>23.9</v>
      </c>
    </row>
    <row r="92" spans="1:12" x14ac:dyDescent="0.25">
      <c r="A92" s="134" t="s">
        <v>125</v>
      </c>
      <c r="B92" s="134">
        <v>2019</v>
      </c>
      <c r="C92" s="134" t="s">
        <v>129</v>
      </c>
      <c r="D92" s="134">
        <v>65</v>
      </c>
      <c r="E92" s="134">
        <v>1.4751999999999999E-2</v>
      </c>
      <c r="F92" s="134">
        <v>7.1137000000000006E-2</v>
      </c>
      <c r="G92" s="134">
        <v>2.5</v>
      </c>
      <c r="H92" s="134">
        <v>85129</v>
      </c>
      <c r="I92" s="134">
        <v>6056</v>
      </c>
      <c r="J92" s="134">
        <v>410506</v>
      </c>
      <c r="K92" s="134">
        <v>1701482</v>
      </c>
      <c r="L92" s="134">
        <v>19.989999999999998</v>
      </c>
    </row>
    <row r="93" spans="1:12" x14ac:dyDescent="0.25">
      <c r="A93" s="134" t="s">
        <v>125</v>
      </c>
      <c r="B93" s="134">
        <v>2019</v>
      </c>
      <c r="C93" s="134" t="s">
        <v>129</v>
      </c>
      <c r="D93" s="134">
        <v>70</v>
      </c>
      <c r="E93" s="134">
        <v>2.2369E-2</v>
      </c>
      <c r="F93" s="134">
        <v>0.105922</v>
      </c>
      <c r="G93" s="134">
        <v>2.5</v>
      </c>
      <c r="H93" s="134">
        <v>79073</v>
      </c>
      <c r="I93" s="134">
        <v>8376</v>
      </c>
      <c r="J93" s="134">
        <v>374427</v>
      </c>
      <c r="K93" s="134">
        <v>1290977</v>
      </c>
      <c r="L93" s="134">
        <v>16.329999999999998</v>
      </c>
    </row>
    <row r="94" spans="1:12" x14ac:dyDescent="0.25">
      <c r="A94" s="134" t="s">
        <v>125</v>
      </c>
      <c r="B94" s="134">
        <v>2019</v>
      </c>
      <c r="C94" s="134" t="s">
        <v>129</v>
      </c>
      <c r="D94" s="134">
        <v>75</v>
      </c>
      <c r="E94" s="134">
        <v>3.6857000000000001E-2</v>
      </c>
      <c r="F94" s="134">
        <v>0.168738</v>
      </c>
      <c r="G94" s="134">
        <v>2.5</v>
      </c>
      <c r="H94" s="134">
        <v>70698</v>
      </c>
      <c r="I94" s="134">
        <v>11929</v>
      </c>
      <c r="J94" s="134">
        <v>323665</v>
      </c>
      <c r="K94" s="134">
        <v>916549</v>
      </c>
      <c r="L94" s="134">
        <v>12.96</v>
      </c>
    </row>
    <row r="95" spans="1:12" x14ac:dyDescent="0.25">
      <c r="A95" s="134" t="s">
        <v>125</v>
      </c>
      <c r="B95" s="134">
        <v>2019</v>
      </c>
      <c r="C95" s="134" t="s">
        <v>129</v>
      </c>
      <c r="D95" s="134">
        <v>80</v>
      </c>
      <c r="E95" s="134">
        <v>6.0602000000000003E-2</v>
      </c>
      <c r="F95" s="134">
        <v>0.26314300000000002</v>
      </c>
      <c r="G95" s="134">
        <v>2.5</v>
      </c>
      <c r="H95" s="134">
        <v>58768</v>
      </c>
      <c r="I95" s="134">
        <v>15464</v>
      </c>
      <c r="J95" s="134">
        <v>255180</v>
      </c>
      <c r="K95" s="134">
        <v>592884</v>
      </c>
      <c r="L95" s="134">
        <v>10.09</v>
      </c>
    </row>
    <row r="96" spans="1:12" x14ac:dyDescent="0.25">
      <c r="A96" s="134" t="s">
        <v>125</v>
      </c>
      <c r="B96" s="134">
        <v>2019</v>
      </c>
      <c r="C96" s="134" t="s">
        <v>129</v>
      </c>
      <c r="D96" s="134">
        <v>85</v>
      </c>
      <c r="E96" s="134">
        <v>0.12823000000000001</v>
      </c>
      <c r="F96" s="134">
        <v>1</v>
      </c>
      <c r="G96" s="134" t="s">
        <v>128</v>
      </c>
      <c r="H96" s="134">
        <v>43304</v>
      </c>
      <c r="I96" s="134">
        <v>43304</v>
      </c>
      <c r="J96" s="134">
        <v>337704</v>
      </c>
      <c r="K96" s="134">
        <v>337704</v>
      </c>
      <c r="L96" s="134">
        <v>7.8</v>
      </c>
    </row>
    <row r="97" spans="1:12" x14ac:dyDescent="0.25">
      <c r="A97" t="s">
        <v>125</v>
      </c>
      <c r="B97">
        <v>2021</v>
      </c>
      <c r="C97" t="s">
        <v>129</v>
      </c>
      <c r="D97">
        <v>0</v>
      </c>
      <c r="E97">
        <v>9.5499999999999995E-3</v>
      </c>
      <c r="F97">
        <v>9.4669999999999997E-3</v>
      </c>
      <c r="G97">
        <v>0.08</v>
      </c>
      <c r="H97" s="135" t="s">
        <v>127</v>
      </c>
      <c r="I97">
        <v>947</v>
      </c>
      <c r="J97">
        <v>99129</v>
      </c>
      <c r="K97">
        <v>7519047</v>
      </c>
      <c r="L97">
        <v>75.19</v>
      </c>
    </row>
    <row r="98" spans="1:12" x14ac:dyDescent="0.25">
      <c r="A98" t="s">
        <v>125</v>
      </c>
      <c r="B98">
        <v>2021</v>
      </c>
      <c r="C98" t="s">
        <v>129</v>
      </c>
      <c r="D98">
        <v>1</v>
      </c>
      <c r="E98">
        <v>4.5300000000000001E-4</v>
      </c>
      <c r="F98">
        <v>1.81E-3</v>
      </c>
      <c r="G98">
        <v>1.51</v>
      </c>
      <c r="H98">
        <v>99053</v>
      </c>
      <c r="I98">
        <v>179</v>
      </c>
      <c r="J98">
        <v>395766</v>
      </c>
      <c r="K98">
        <v>7419919</v>
      </c>
      <c r="L98">
        <v>74.91</v>
      </c>
    </row>
    <row r="99" spans="1:12" x14ac:dyDescent="0.25">
      <c r="A99" t="s">
        <v>125</v>
      </c>
      <c r="B99">
        <v>2021</v>
      </c>
      <c r="C99" t="s">
        <v>129</v>
      </c>
      <c r="D99">
        <v>5</v>
      </c>
      <c r="E99">
        <v>1.9100000000000001E-4</v>
      </c>
      <c r="F99">
        <v>9.5399999999999999E-4</v>
      </c>
      <c r="G99">
        <v>2.5</v>
      </c>
      <c r="H99">
        <v>98874</v>
      </c>
      <c r="I99">
        <v>94</v>
      </c>
      <c r="J99">
        <v>494134</v>
      </c>
      <c r="K99">
        <v>7024152</v>
      </c>
      <c r="L99">
        <v>71.040000000000006</v>
      </c>
    </row>
    <row r="100" spans="1:12" x14ac:dyDescent="0.25">
      <c r="A100" t="s">
        <v>125</v>
      </c>
      <c r="B100">
        <v>2021</v>
      </c>
      <c r="C100" t="s">
        <v>129</v>
      </c>
      <c r="D100">
        <v>10</v>
      </c>
      <c r="E100">
        <v>2.6800000000000001E-4</v>
      </c>
      <c r="F100">
        <v>1.34E-3</v>
      </c>
      <c r="G100">
        <v>2.5</v>
      </c>
      <c r="H100">
        <v>98780</v>
      </c>
      <c r="I100">
        <v>132</v>
      </c>
      <c r="J100">
        <v>493568</v>
      </c>
      <c r="K100">
        <v>6530018</v>
      </c>
      <c r="L100">
        <v>66.11</v>
      </c>
    </row>
    <row r="101" spans="1:12" x14ac:dyDescent="0.25">
      <c r="A101" t="s">
        <v>125</v>
      </c>
      <c r="B101">
        <v>2021</v>
      </c>
      <c r="C101" t="s">
        <v>129</v>
      </c>
      <c r="D101">
        <v>15</v>
      </c>
      <c r="E101">
        <v>4.9799999999999996E-4</v>
      </c>
      <c r="F101">
        <v>2.4870000000000001E-3</v>
      </c>
      <c r="G101">
        <v>2.5</v>
      </c>
      <c r="H101">
        <v>98647</v>
      </c>
      <c r="I101">
        <v>245</v>
      </c>
      <c r="J101">
        <v>492623</v>
      </c>
      <c r="K101">
        <v>6036450</v>
      </c>
      <c r="L101">
        <v>61.19</v>
      </c>
    </row>
    <row r="102" spans="1:12" x14ac:dyDescent="0.25">
      <c r="A102" t="s">
        <v>125</v>
      </c>
      <c r="B102">
        <v>2021</v>
      </c>
      <c r="C102" t="s">
        <v>129</v>
      </c>
      <c r="D102">
        <v>20</v>
      </c>
      <c r="E102">
        <v>7.1900000000000002E-4</v>
      </c>
      <c r="F102">
        <v>3.5899999999999999E-3</v>
      </c>
      <c r="G102">
        <v>2.5</v>
      </c>
      <c r="H102">
        <v>98402</v>
      </c>
      <c r="I102">
        <v>353</v>
      </c>
      <c r="J102">
        <v>491127</v>
      </c>
      <c r="K102">
        <v>5543827</v>
      </c>
      <c r="L102">
        <v>56.34</v>
      </c>
    </row>
    <row r="103" spans="1:12" x14ac:dyDescent="0.25">
      <c r="A103" t="s">
        <v>125</v>
      </c>
      <c r="B103">
        <v>2021</v>
      </c>
      <c r="C103" t="s">
        <v>129</v>
      </c>
      <c r="D103">
        <v>25</v>
      </c>
      <c r="E103">
        <v>1.011E-3</v>
      </c>
      <c r="F103">
        <v>5.0429999999999997E-3</v>
      </c>
      <c r="G103">
        <v>2.5</v>
      </c>
      <c r="H103">
        <v>98049</v>
      </c>
      <c r="I103">
        <v>494</v>
      </c>
      <c r="J103">
        <v>489008</v>
      </c>
      <c r="K103">
        <v>5052700</v>
      </c>
      <c r="L103">
        <v>51.53</v>
      </c>
    </row>
    <row r="104" spans="1:12" x14ac:dyDescent="0.25">
      <c r="A104" t="s">
        <v>125</v>
      </c>
      <c r="B104">
        <v>2021</v>
      </c>
      <c r="C104" t="s">
        <v>129</v>
      </c>
      <c r="D104">
        <v>30</v>
      </c>
      <c r="E104">
        <v>1.3010000000000001E-3</v>
      </c>
      <c r="F104">
        <v>6.4840000000000002E-3</v>
      </c>
      <c r="G104">
        <v>2.5</v>
      </c>
      <c r="H104">
        <v>97554</v>
      </c>
      <c r="I104">
        <v>633</v>
      </c>
      <c r="J104">
        <v>486190</v>
      </c>
      <c r="K104">
        <v>4563693</v>
      </c>
      <c r="L104">
        <v>46.78</v>
      </c>
    </row>
    <row r="105" spans="1:12" x14ac:dyDescent="0.25">
      <c r="A105" t="s">
        <v>125</v>
      </c>
      <c r="B105">
        <v>2021</v>
      </c>
      <c r="C105" t="s">
        <v>129</v>
      </c>
      <c r="D105">
        <v>35</v>
      </c>
      <c r="E105">
        <v>1.9449999999999999E-3</v>
      </c>
      <c r="F105">
        <v>9.6799999999999994E-3</v>
      </c>
      <c r="G105">
        <v>2.5</v>
      </c>
      <c r="H105">
        <v>96922</v>
      </c>
      <c r="I105">
        <v>938</v>
      </c>
      <c r="J105">
        <v>482263</v>
      </c>
      <c r="K105">
        <v>4077502</v>
      </c>
      <c r="L105">
        <v>42.07</v>
      </c>
    </row>
    <row r="106" spans="1:12" x14ac:dyDescent="0.25">
      <c r="A106" t="s">
        <v>125</v>
      </c>
      <c r="B106">
        <v>2021</v>
      </c>
      <c r="C106" t="s">
        <v>129</v>
      </c>
      <c r="D106">
        <v>40</v>
      </c>
      <c r="E106">
        <v>2.8170000000000001E-3</v>
      </c>
      <c r="F106">
        <v>1.3986E-2</v>
      </c>
      <c r="G106">
        <v>2.5</v>
      </c>
      <c r="H106">
        <v>95984</v>
      </c>
      <c r="I106">
        <v>1342</v>
      </c>
      <c r="J106">
        <v>476562</v>
      </c>
      <c r="K106">
        <v>3595239</v>
      </c>
      <c r="L106">
        <v>37.46</v>
      </c>
    </row>
    <row r="107" spans="1:12" x14ac:dyDescent="0.25">
      <c r="A107" t="s">
        <v>125</v>
      </c>
      <c r="B107">
        <v>2021</v>
      </c>
      <c r="C107" t="s">
        <v>129</v>
      </c>
      <c r="D107">
        <v>45</v>
      </c>
      <c r="E107">
        <v>4.5319999999999996E-3</v>
      </c>
      <c r="F107">
        <v>2.2404E-2</v>
      </c>
      <c r="G107">
        <v>2.5</v>
      </c>
      <c r="H107">
        <v>94641</v>
      </c>
      <c r="I107">
        <v>2120</v>
      </c>
      <c r="J107">
        <v>467905</v>
      </c>
      <c r="K107">
        <v>3118677</v>
      </c>
      <c r="L107">
        <v>32.950000000000003</v>
      </c>
    </row>
    <row r="108" spans="1:12" x14ac:dyDescent="0.25">
      <c r="A108" t="s">
        <v>125</v>
      </c>
      <c r="B108">
        <v>2021</v>
      </c>
      <c r="C108" t="s">
        <v>129</v>
      </c>
      <c r="D108">
        <v>50</v>
      </c>
      <c r="E108">
        <v>6.4689999999999999E-3</v>
      </c>
      <c r="F108">
        <v>3.1830999999999998E-2</v>
      </c>
      <c r="G108">
        <v>2.5</v>
      </c>
      <c r="H108">
        <v>92521</v>
      </c>
      <c r="I108">
        <v>2945</v>
      </c>
      <c r="J108">
        <v>455241</v>
      </c>
      <c r="K108">
        <v>2650773</v>
      </c>
      <c r="L108">
        <v>28.65</v>
      </c>
    </row>
    <row r="109" spans="1:12" x14ac:dyDescent="0.25">
      <c r="A109" t="s">
        <v>125</v>
      </c>
      <c r="B109">
        <v>2021</v>
      </c>
      <c r="C109" t="s">
        <v>129</v>
      </c>
      <c r="D109">
        <v>55</v>
      </c>
      <c r="E109">
        <v>1.0965000000000001E-2</v>
      </c>
      <c r="F109">
        <v>5.3364000000000002E-2</v>
      </c>
      <c r="G109">
        <v>2.5</v>
      </c>
      <c r="H109">
        <v>89576</v>
      </c>
      <c r="I109">
        <v>4780</v>
      </c>
      <c r="J109">
        <v>435928</v>
      </c>
      <c r="K109">
        <v>2195531</v>
      </c>
      <c r="L109">
        <v>24.51</v>
      </c>
    </row>
    <row r="110" spans="1:12" x14ac:dyDescent="0.25">
      <c r="A110" t="s">
        <v>125</v>
      </c>
      <c r="B110">
        <v>2021</v>
      </c>
      <c r="C110" t="s">
        <v>129</v>
      </c>
      <c r="D110">
        <v>60</v>
      </c>
      <c r="E110">
        <v>1.5800999999999999E-2</v>
      </c>
      <c r="F110">
        <v>7.6004000000000002E-2</v>
      </c>
      <c r="G110">
        <v>2.5</v>
      </c>
      <c r="H110">
        <v>84796</v>
      </c>
      <c r="I110">
        <v>6445</v>
      </c>
      <c r="J110">
        <v>407866</v>
      </c>
      <c r="K110">
        <v>1759603</v>
      </c>
      <c r="L110">
        <v>20.75</v>
      </c>
    </row>
    <row r="111" spans="1:12" x14ac:dyDescent="0.25">
      <c r="A111" t="s">
        <v>125</v>
      </c>
      <c r="B111">
        <v>2021</v>
      </c>
      <c r="C111" t="s">
        <v>129</v>
      </c>
      <c r="D111">
        <v>65</v>
      </c>
      <c r="E111">
        <v>2.3071999999999999E-2</v>
      </c>
      <c r="F111">
        <v>0.109067</v>
      </c>
      <c r="G111">
        <v>2.5</v>
      </c>
      <c r="H111">
        <v>78351</v>
      </c>
      <c r="I111">
        <v>8546</v>
      </c>
      <c r="J111">
        <v>370390</v>
      </c>
      <c r="K111">
        <v>1351737</v>
      </c>
      <c r="L111">
        <v>17.25</v>
      </c>
    </row>
    <row r="112" spans="1:12" x14ac:dyDescent="0.25">
      <c r="A112" t="s">
        <v>125</v>
      </c>
      <c r="B112">
        <v>2021</v>
      </c>
      <c r="C112" t="s">
        <v>129</v>
      </c>
      <c r="D112">
        <v>70</v>
      </c>
      <c r="E112">
        <v>3.3765000000000003E-2</v>
      </c>
      <c r="F112">
        <v>0.15568399999999999</v>
      </c>
      <c r="G112">
        <v>2.5</v>
      </c>
      <c r="H112">
        <v>69805</v>
      </c>
      <c r="I112">
        <v>10868</v>
      </c>
      <c r="J112">
        <v>321858</v>
      </c>
      <c r="K112">
        <v>981346</v>
      </c>
      <c r="L112">
        <v>14.06</v>
      </c>
    </row>
    <row r="113" spans="1:12" x14ac:dyDescent="0.25">
      <c r="A113" t="s">
        <v>125</v>
      </c>
      <c r="B113">
        <v>2021</v>
      </c>
      <c r="C113" t="s">
        <v>129</v>
      </c>
      <c r="D113">
        <v>75</v>
      </c>
      <c r="E113">
        <v>5.0934E-2</v>
      </c>
      <c r="F113">
        <v>0.225906</v>
      </c>
      <c r="G113">
        <v>2.5</v>
      </c>
      <c r="H113">
        <v>58938</v>
      </c>
      <c r="I113">
        <v>13314</v>
      </c>
      <c r="J113">
        <v>261403</v>
      </c>
      <c r="K113">
        <v>659489</v>
      </c>
      <c r="L113">
        <v>11.19</v>
      </c>
    </row>
    <row r="114" spans="1:12" x14ac:dyDescent="0.25">
      <c r="A114" t="s">
        <v>125</v>
      </c>
      <c r="B114">
        <v>2021</v>
      </c>
      <c r="C114" t="s">
        <v>129</v>
      </c>
      <c r="D114">
        <v>80</v>
      </c>
      <c r="E114">
        <v>7.6095999999999997E-2</v>
      </c>
      <c r="F114">
        <v>0.31966800000000001</v>
      </c>
      <c r="G114">
        <v>2.5</v>
      </c>
      <c r="H114">
        <v>45623</v>
      </c>
      <c r="I114">
        <v>14584</v>
      </c>
      <c r="J114">
        <v>191656</v>
      </c>
      <c r="K114">
        <v>398086</v>
      </c>
      <c r="L114">
        <v>8.73</v>
      </c>
    </row>
    <row r="115" spans="1:12" x14ac:dyDescent="0.25">
      <c r="A115" t="s">
        <v>125</v>
      </c>
      <c r="B115">
        <v>2021</v>
      </c>
      <c r="C115" t="s">
        <v>129</v>
      </c>
      <c r="D115">
        <v>85</v>
      </c>
      <c r="E115">
        <v>0.15036099999999999</v>
      </c>
      <c r="F115">
        <v>1</v>
      </c>
      <c r="G115" t="s">
        <v>128</v>
      </c>
      <c r="H115">
        <v>31039</v>
      </c>
      <c r="I115">
        <v>31039</v>
      </c>
      <c r="J115">
        <v>206430</v>
      </c>
      <c r="K115">
        <v>206430</v>
      </c>
      <c r="L115">
        <v>6.65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dimension ref="A1:D1331"/>
  <sheetViews>
    <sheetView topLeftCell="A1201" workbookViewId="0">
      <selection activeCell="O1220" sqref="O1220"/>
    </sheetView>
  </sheetViews>
  <sheetFormatPr baseColWidth="10" defaultRowHeight="15" x14ac:dyDescent="0.25"/>
  <sheetData>
    <row r="1" spans="1:4" x14ac:dyDescent="0.25">
      <c r="A1" t="s">
        <v>110</v>
      </c>
      <c r="B1" t="s">
        <v>111</v>
      </c>
      <c r="C1" t="s">
        <v>112</v>
      </c>
      <c r="D1" t="s">
        <v>113</v>
      </c>
    </row>
    <row r="2" spans="1:4" x14ac:dyDescent="0.25">
      <c r="A2">
        <v>1990</v>
      </c>
      <c r="B2" t="s">
        <v>114</v>
      </c>
      <c r="C2">
        <v>0</v>
      </c>
      <c r="D2">
        <v>80.923281538256205</v>
      </c>
    </row>
    <row r="3" spans="1:4" x14ac:dyDescent="0.25">
      <c r="A3">
        <v>1990</v>
      </c>
      <c r="B3" t="s">
        <v>114</v>
      </c>
      <c r="C3">
        <v>1</v>
      </c>
      <c r="D3">
        <v>105.34859285073701</v>
      </c>
    </row>
    <row r="4" spans="1:4" x14ac:dyDescent="0.25">
      <c r="A4">
        <v>1990</v>
      </c>
      <c r="B4" t="s">
        <v>114</v>
      </c>
      <c r="C4">
        <v>5</v>
      </c>
      <c r="D4">
        <v>121.72089493182401</v>
      </c>
    </row>
    <row r="5" spans="1:4" x14ac:dyDescent="0.25">
      <c r="A5">
        <v>1990</v>
      </c>
      <c r="B5" t="s">
        <v>114</v>
      </c>
      <c r="C5">
        <v>10</v>
      </c>
      <c r="D5">
        <v>199.36768803866099</v>
      </c>
    </row>
    <row r="6" spans="1:4" x14ac:dyDescent="0.25">
      <c r="A6">
        <v>1990</v>
      </c>
      <c r="B6" t="s">
        <v>114</v>
      </c>
      <c r="C6">
        <v>15</v>
      </c>
      <c r="D6">
        <v>1289.55735444122</v>
      </c>
    </row>
    <row r="7" spans="1:4" x14ac:dyDescent="0.25">
      <c r="A7">
        <v>1990</v>
      </c>
      <c r="B7" t="s">
        <v>114</v>
      </c>
      <c r="C7">
        <v>20</v>
      </c>
      <c r="D7">
        <v>2158.14494487203</v>
      </c>
    </row>
    <row r="8" spans="1:4" x14ac:dyDescent="0.25">
      <c r="A8">
        <v>1990</v>
      </c>
      <c r="B8" t="s">
        <v>114</v>
      </c>
      <c r="C8">
        <v>25</v>
      </c>
      <c r="D8">
        <v>2024.9665314260101</v>
      </c>
    </row>
    <row r="9" spans="1:4" x14ac:dyDescent="0.25">
      <c r="A9">
        <v>1990</v>
      </c>
      <c r="B9" t="s">
        <v>114</v>
      </c>
      <c r="C9">
        <v>30</v>
      </c>
      <c r="D9">
        <v>1580.23630884713</v>
      </c>
    </row>
    <row r="10" spans="1:4" x14ac:dyDescent="0.25">
      <c r="A10">
        <v>1990</v>
      </c>
      <c r="B10" t="s">
        <v>114</v>
      </c>
      <c r="C10">
        <v>35</v>
      </c>
      <c r="D10">
        <v>1394.2459812827201</v>
      </c>
    </row>
    <row r="11" spans="1:4" x14ac:dyDescent="0.25">
      <c r="A11">
        <v>1990</v>
      </c>
      <c r="B11" t="s">
        <v>114</v>
      </c>
      <c r="C11">
        <v>40</v>
      </c>
      <c r="D11">
        <v>960.21988524742596</v>
      </c>
    </row>
    <row r="12" spans="1:4" x14ac:dyDescent="0.25">
      <c r="A12">
        <v>1990</v>
      </c>
      <c r="B12" t="s">
        <v>114</v>
      </c>
      <c r="C12">
        <v>45</v>
      </c>
      <c r="D12">
        <v>878.76799543785398</v>
      </c>
    </row>
    <row r="13" spans="1:4" x14ac:dyDescent="0.25">
      <c r="A13">
        <v>1990</v>
      </c>
      <c r="B13" t="s">
        <v>114</v>
      </c>
      <c r="C13">
        <v>50</v>
      </c>
      <c r="D13">
        <v>632.68725489819803</v>
      </c>
    </row>
    <row r="14" spans="1:4" x14ac:dyDescent="0.25">
      <c r="A14">
        <v>1990</v>
      </c>
      <c r="B14" t="s">
        <v>114</v>
      </c>
      <c r="C14">
        <v>55</v>
      </c>
      <c r="D14">
        <v>517.543327265691</v>
      </c>
    </row>
    <row r="15" spans="1:4" x14ac:dyDescent="0.25">
      <c r="A15">
        <v>1990</v>
      </c>
      <c r="B15" t="s">
        <v>114</v>
      </c>
      <c r="C15">
        <v>60</v>
      </c>
      <c r="D15">
        <v>366.94534240066599</v>
      </c>
    </row>
    <row r="16" spans="1:4" x14ac:dyDescent="0.25">
      <c r="A16">
        <v>1990</v>
      </c>
      <c r="B16" t="s">
        <v>114</v>
      </c>
      <c r="C16">
        <v>65</v>
      </c>
      <c r="D16">
        <v>278.70789042139302</v>
      </c>
    </row>
    <row r="17" spans="1:4" x14ac:dyDescent="0.25">
      <c r="A17">
        <v>1990</v>
      </c>
      <c r="B17" t="s">
        <v>114</v>
      </c>
      <c r="C17">
        <v>70</v>
      </c>
      <c r="D17">
        <v>159.53813668311599</v>
      </c>
    </row>
    <row r="18" spans="1:4" x14ac:dyDescent="0.25">
      <c r="A18">
        <v>1990</v>
      </c>
      <c r="B18" t="s">
        <v>114</v>
      </c>
      <c r="C18">
        <v>75</v>
      </c>
      <c r="D18">
        <v>110.87284691945899</v>
      </c>
    </row>
    <row r="19" spans="1:4" x14ac:dyDescent="0.25">
      <c r="A19">
        <v>1990</v>
      </c>
      <c r="B19" t="s">
        <v>114</v>
      </c>
      <c r="C19">
        <v>80</v>
      </c>
      <c r="D19">
        <v>64.082471155283699</v>
      </c>
    </row>
    <row r="20" spans="1:4" x14ac:dyDescent="0.25">
      <c r="A20">
        <v>1990</v>
      </c>
      <c r="B20" t="s">
        <v>114</v>
      </c>
      <c r="C20">
        <v>85</v>
      </c>
      <c r="D20">
        <v>95.078043552804502</v>
      </c>
    </row>
    <row r="21" spans="1:4" x14ac:dyDescent="0.25">
      <c r="A21">
        <v>1991</v>
      </c>
      <c r="B21" t="s">
        <v>114</v>
      </c>
      <c r="C21">
        <v>0</v>
      </c>
      <c r="D21">
        <v>84.793342521532296</v>
      </c>
    </row>
    <row r="22" spans="1:4" x14ac:dyDescent="0.25">
      <c r="A22">
        <v>1991</v>
      </c>
      <c r="B22" t="s">
        <v>114</v>
      </c>
      <c r="C22">
        <v>1</v>
      </c>
      <c r="D22">
        <v>130.872506450065</v>
      </c>
    </row>
    <row r="23" spans="1:4" x14ac:dyDescent="0.25">
      <c r="A23">
        <v>1991</v>
      </c>
      <c r="B23" t="s">
        <v>114</v>
      </c>
      <c r="C23">
        <v>5</v>
      </c>
      <c r="D23">
        <v>127.54760425530399</v>
      </c>
    </row>
    <row r="24" spans="1:4" x14ac:dyDescent="0.25">
      <c r="A24">
        <v>1991</v>
      </c>
      <c r="B24" t="s">
        <v>114</v>
      </c>
      <c r="C24">
        <v>10</v>
      </c>
      <c r="D24">
        <v>222.341608523004</v>
      </c>
    </row>
    <row r="25" spans="1:4" x14ac:dyDescent="0.25">
      <c r="A25">
        <v>1991</v>
      </c>
      <c r="B25" t="s">
        <v>114</v>
      </c>
      <c r="C25">
        <v>15</v>
      </c>
      <c r="D25">
        <v>1442.6342737238101</v>
      </c>
    </row>
    <row r="26" spans="1:4" x14ac:dyDescent="0.25">
      <c r="A26">
        <v>1991</v>
      </c>
      <c r="B26" t="s">
        <v>114</v>
      </c>
      <c r="C26">
        <v>20</v>
      </c>
      <c r="D26">
        <v>2473.33673692616</v>
      </c>
    </row>
    <row r="27" spans="1:4" x14ac:dyDescent="0.25">
      <c r="A27">
        <v>1991</v>
      </c>
      <c r="B27" t="s">
        <v>114</v>
      </c>
      <c r="C27">
        <v>25</v>
      </c>
      <c r="D27">
        <v>2139.5584531597401</v>
      </c>
    </row>
    <row r="28" spans="1:4" x14ac:dyDescent="0.25">
      <c r="A28">
        <v>1991</v>
      </c>
      <c r="B28" t="s">
        <v>114</v>
      </c>
      <c r="C28">
        <v>30</v>
      </c>
      <c r="D28">
        <v>1635.20187335425</v>
      </c>
    </row>
    <row r="29" spans="1:4" x14ac:dyDescent="0.25">
      <c r="A29">
        <v>1991</v>
      </c>
      <c r="B29" t="s">
        <v>114</v>
      </c>
      <c r="C29">
        <v>35</v>
      </c>
      <c r="D29">
        <v>1375.1478038457101</v>
      </c>
    </row>
    <row r="30" spans="1:4" x14ac:dyDescent="0.25">
      <c r="A30">
        <v>1991</v>
      </c>
      <c r="B30" t="s">
        <v>114</v>
      </c>
      <c r="C30">
        <v>40</v>
      </c>
      <c r="D30">
        <v>1005.26516110536</v>
      </c>
    </row>
    <row r="31" spans="1:4" x14ac:dyDescent="0.25">
      <c r="A31">
        <v>1991</v>
      </c>
      <c r="B31" t="s">
        <v>114</v>
      </c>
      <c r="C31">
        <v>45</v>
      </c>
      <c r="D31">
        <v>846.42218457314505</v>
      </c>
    </row>
    <row r="32" spans="1:4" x14ac:dyDescent="0.25">
      <c r="A32">
        <v>1991</v>
      </c>
      <c r="B32" t="s">
        <v>114</v>
      </c>
      <c r="C32">
        <v>50</v>
      </c>
      <c r="D32">
        <v>618.67003049121502</v>
      </c>
    </row>
    <row r="33" spans="1:4" x14ac:dyDescent="0.25">
      <c r="A33">
        <v>1991</v>
      </c>
      <c r="B33" t="s">
        <v>114</v>
      </c>
      <c r="C33">
        <v>55</v>
      </c>
      <c r="D33">
        <v>498.5134536608</v>
      </c>
    </row>
    <row r="34" spans="1:4" x14ac:dyDescent="0.25">
      <c r="A34">
        <v>1991</v>
      </c>
      <c r="B34" t="s">
        <v>114</v>
      </c>
      <c r="C34">
        <v>60</v>
      </c>
      <c r="D34">
        <v>395.58975003020601</v>
      </c>
    </row>
    <row r="35" spans="1:4" x14ac:dyDescent="0.25">
      <c r="A35">
        <v>1991</v>
      </c>
      <c r="B35" t="s">
        <v>114</v>
      </c>
      <c r="C35">
        <v>65</v>
      </c>
      <c r="D35">
        <v>257.43999624058802</v>
      </c>
    </row>
    <row r="36" spans="1:4" x14ac:dyDescent="0.25">
      <c r="A36">
        <v>1991</v>
      </c>
      <c r="B36" t="s">
        <v>114</v>
      </c>
      <c r="C36">
        <v>70</v>
      </c>
      <c r="D36">
        <v>182.14134121369599</v>
      </c>
    </row>
    <row r="37" spans="1:4" x14ac:dyDescent="0.25">
      <c r="A37">
        <v>1991</v>
      </c>
      <c r="B37" t="s">
        <v>114</v>
      </c>
      <c r="C37">
        <v>75</v>
      </c>
      <c r="D37">
        <v>116.00063071710299</v>
      </c>
    </row>
    <row r="38" spans="1:4" x14ac:dyDescent="0.25">
      <c r="A38">
        <v>1991</v>
      </c>
      <c r="B38" t="s">
        <v>114</v>
      </c>
      <c r="C38">
        <v>80</v>
      </c>
      <c r="D38">
        <v>79.368852595912401</v>
      </c>
    </row>
    <row r="39" spans="1:4" x14ac:dyDescent="0.25">
      <c r="A39">
        <v>1991</v>
      </c>
      <c r="B39" t="s">
        <v>114</v>
      </c>
      <c r="C39">
        <v>85</v>
      </c>
      <c r="D39">
        <v>55.965216574040802</v>
      </c>
    </row>
    <row r="40" spans="1:4" x14ac:dyDescent="0.25">
      <c r="A40">
        <v>1992</v>
      </c>
      <c r="B40" t="s">
        <v>114</v>
      </c>
      <c r="C40">
        <v>0</v>
      </c>
      <c r="D40">
        <v>73.355875660438898</v>
      </c>
    </row>
    <row r="41" spans="1:4" x14ac:dyDescent="0.25">
      <c r="A41">
        <v>1992</v>
      </c>
      <c r="B41" t="s">
        <v>114</v>
      </c>
      <c r="C41">
        <v>1</v>
      </c>
      <c r="D41">
        <v>120.965538714022</v>
      </c>
    </row>
    <row r="42" spans="1:4" x14ac:dyDescent="0.25">
      <c r="A42">
        <v>1992</v>
      </c>
      <c r="B42" t="s">
        <v>114</v>
      </c>
      <c r="C42">
        <v>5</v>
      </c>
      <c r="D42">
        <v>99.618678940959597</v>
      </c>
    </row>
    <row r="43" spans="1:4" x14ac:dyDescent="0.25">
      <c r="A43">
        <v>1992</v>
      </c>
      <c r="B43" t="s">
        <v>114</v>
      </c>
      <c r="C43">
        <v>10</v>
      </c>
      <c r="D43">
        <v>210.41904633447601</v>
      </c>
    </row>
    <row r="44" spans="1:4" x14ac:dyDescent="0.25">
      <c r="A44">
        <v>1992</v>
      </c>
      <c r="B44" t="s">
        <v>114</v>
      </c>
      <c r="C44">
        <v>15</v>
      </c>
      <c r="D44">
        <v>1575.3834783386901</v>
      </c>
    </row>
    <row r="45" spans="1:4" x14ac:dyDescent="0.25">
      <c r="A45">
        <v>1992</v>
      </c>
      <c r="B45" t="s">
        <v>114</v>
      </c>
      <c r="C45">
        <v>20</v>
      </c>
      <c r="D45">
        <v>2864.4710211909</v>
      </c>
    </row>
    <row r="46" spans="1:4" x14ac:dyDescent="0.25">
      <c r="A46">
        <v>1992</v>
      </c>
      <c r="B46" t="s">
        <v>114</v>
      </c>
      <c r="C46">
        <v>25</v>
      </c>
      <c r="D46">
        <v>2406.0960515637898</v>
      </c>
    </row>
    <row r="47" spans="1:4" x14ac:dyDescent="0.25">
      <c r="A47">
        <v>1992</v>
      </c>
      <c r="B47" t="s">
        <v>114</v>
      </c>
      <c r="C47">
        <v>30</v>
      </c>
      <c r="D47">
        <v>2006.5356743755001</v>
      </c>
    </row>
    <row r="48" spans="1:4" x14ac:dyDescent="0.25">
      <c r="A48">
        <v>1992</v>
      </c>
      <c r="B48" t="s">
        <v>114</v>
      </c>
      <c r="C48">
        <v>35</v>
      </c>
      <c r="D48">
        <v>1598.6637124557601</v>
      </c>
    </row>
    <row r="49" spans="1:4" x14ac:dyDescent="0.25">
      <c r="A49">
        <v>1992</v>
      </c>
      <c r="B49" t="s">
        <v>114</v>
      </c>
      <c r="C49">
        <v>40</v>
      </c>
      <c r="D49">
        <v>1133.1398236550899</v>
      </c>
    </row>
    <row r="50" spans="1:4" x14ac:dyDescent="0.25">
      <c r="A50">
        <v>1992</v>
      </c>
      <c r="B50" t="s">
        <v>114</v>
      </c>
      <c r="C50">
        <v>45</v>
      </c>
      <c r="D50">
        <v>885.02727400727895</v>
      </c>
    </row>
    <row r="51" spans="1:4" x14ac:dyDescent="0.25">
      <c r="A51">
        <v>1992</v>
      </c>
      <c r="B51" t="s">
        <v>114</v>
      </c>
      <c r="C51">
        <v>50</v>
      </c>
      <c r="D51">
        <v>710.455236184603</v>
      </c>
    </row>
    <row r="52" spans="1:4" x14ac:dyDescent="0.25">
      <c r="A52">
        <v>1992</v>
      </c>
      <c r="B52" t="s">
        <v>114</v>
      </c>
      <c r="C52">
        <v>55</v>
      </c>
      <c r="D52">
        <v>539.67188932240401</v>
      </c>
    </row>
    <row r="53" spans="1:4" x14ac:dyDescent="0.25">
      <c r="A53">
        <v>1992</v>
      </c>
      <c r="B53" t="s">
        <v>114</v>
      </c>
      <c r="C53">
        <v>60</v>
      </c>
      <c r="D53">
        <v>404.57381855614199</v>
      </c>
    </row>
    <row r="54" spans="1:4" x14ac:dyDescent="0.25">
      <c r="A54">
        <v>1992</v>
      </c>
      <c r="B54" t="s">
        <v>114</v>
      </c>
      <c r="C54">
        <v>65</v>
      </c>
      <c r="D54">
        <v>247.01366308829799</v>
      </c>
    </row>
    <row r="55" spans="1:4" x14ac:dyDescent="0.25">
      <c r="A55">
        <v>1992</v>
      </c>
      <c r="B55" t="s">
        <v>114</v>
      </c>
      <c r="C55">
        <v>70</v>
      </c>
      <c r="D55">
        <v>174.840946712705</v>
      </c>
    </row>
    <row r="56" spans="1:4" x14ac:dyDescent="0.25">
      <c r="A56">
        <v>1992</v>
      </c>
      <c r="B56" t="s">
        <v>114</v>
      </c>
      <c r="C56">
        <v>75</v>
      </c>
      <c r="D56">
        <v>108.76733312941499</v>
      </c>
    </row>
    <row r="57" spans="1:4" x14ac:dyDescent="0.25">
      <c r="A57">
        <v>1992</v>
      </c>
      <c r="B57" t="s">
        <v>114</v>
      </c>
      <c r="C57">
        <v>80</v>
      </c>
      <c r="D57">
        <v>64.040579319188296</v>
      </c>
    </row>
    <row r="58" spans="1:4" x14ac:dyDescent="0.25">
      <c r="A58">
        <v>1992</v>
      </c>
      <c r="B58" t="s">
        <v>114</v>
      </c>
      <c r="C58">
        <v>85</v>
      </c>
      <c r="D58">
        <v>65.057096451238905</v>
      </c>
    </row>
    <row r="59" spans="1:4" x14ac:dyDescent="0.25">
      <c r="A59">
        <v>1993</v>
      </c>
      <c r="B59" t="s">
        <v>114</v>
      </c>
      <c r="C59">
        <v>0</v>
      </c>
      <c r="D59">
        <v>67.408533734450302</v>
      </c>
    </row>
    <row r="60" spans="1:4" x14ac:dyDescent="0.25">
      <c r="A60">
        <v>1993</v>
      </c>
      <c r="B60" t="s">
        <v>114</v>
      </c>
      <c r="C60">
        <v>1</v>
      </c>
      <c r="D60">
        <v>105.11527033270001</v>
      </c>
    </row>
    <row r="61" spans="1:4" x14ac:dyDescent="0.25">
      <c r="A61">
        <v>1993</v>
      </c>
      <c r="B61" t="s">
        <v>114</v>
      </c>
      <c r="C61">
        <v>5</v>
      </c>
      <c r="D61">
        <v>87.316065234292196</v>
      </c>
    </row>
    <row r="62" spans="1:4" x14ac:dyDescent="0.25">
      <c r="A62">
        <v>1993</v>
      </c>
      <c r="B62" t="s">
        <v>114</v>
      </c>
      <c r="C62">
        <v>10</v>
      </c>
      <c r="D62">
        <v>212.19834458101201</v>
      </c>
    </row>
    <row r="63" spans="1:4" x14ac:dyDescent="0.25">
      <c r="A63">
        <v>1993</v>
      </c>
      <c r="B63" t="s">
        <v>114</v>
      </c>
      <c r="C63">
        <v>15</v>
      </c>
      <c r="D63">
        <v>1491.37652683171</v>
      </c>
    </row>
    <row r="64" spans="1:4" x14ac:dyDescent="0.25">
      <c r="A64">
        <v>1993</v>
      </c>
      <c r="B64" t="s">
        <v>114</v>
      </c>
      <c r="C64">
        <v>20</v>
      </c>
      <c r="D64">
        <v>2616.3687043677801</v>
      </c>
    </row>
    <row r="65" spans="1:4" x14ac:dyDescent="0.25">
      <c r="A65">
        <v>1993</v>
      </c>
      <c r="B65" t="s">
        <v>114</v>
      </c>
      <c r="C65">
        <v>25</v>
      </c>
      <c r="D65">
        <v>2377.7707080292298</v>
      </c>
    </row>
    <row r="66" spans="1:4" x14ac:dyDescent="0.25">
      <c r="A66">
        <v>1993</v>
      </c>
      <c r="B66" t="s">
        <v>114</v>
      </c>
      <c r="C66">
        <v>30</v>
      </c>
      <c r="D66">
        <v>1815.2074916916899</v>
      </c>
    </row>
    <row r="67" spans="1:4" x14ac:dyDescent="0.25">
      <c r="A67">
        <v>1993</v>
      </c>
      <c r="B67" t="s">
        <v>114</v>
      </c>
      <c r="C67">
        <v>35</v>
      </c>
      <c r="D67">
        <v>1590.97993281553</v>
      </c>
    </row>
    <row r="68" spans="1:4" x14ac:dyDescent="0.25">
      <c r="A68">
        <v>1993</v>
      </c>
      <c r="B68" t="s">
        <v>114</v>
      </c>
      <c r="C68">
        <v>40</v>
      </c>
      <c r="D68">
        <v>1080.1222168361101</v>
      </c>
    </row>
    <row r="69" spans="1:4" x14ac:dyDescent="0.25">
      <c r="A69">
        <v>1993</v>
      </c>
      <c r="B69" t="s">
        <v>114</v>
      </c>
      <c r="C69">
        <v>45</v>
      </c>
      <c r="D69">
        <v>877.22186467940003</v>
      </c>
    </row>
    <row r="70" spans="1:4" x14ac:dyDescent="0.25">
      <c r="A70">
        <v>1993</v>
      </c>
      <c r="B70" t="s">
        <v>114</v>
      </c>
      <c r="C70">
        <v>50</v>
      </c>
      <c r="D70">
        <v>646.65392093164098</v>
      </c>
    </row>
    <row r="71" spans="1:4" x14ac:dyDescent="0.25">
      <c r="A71">
        <v>1993</v>
      </c>
      <c r="B71" t="s">
        <v>114</v>
      </c>
      <c r="C71">
        <v>55</v>
      </c>
      <c r="D71">
        <v>519.83517906927398</v>
      </c>
    </row>
    <row r="72" spans="1:4" x14ac:dyDescent="0.25">
      <c r="A72">
        <v>1993</v>
      </c>
      <c r="B72" t="s">
        <v>114</v>
      </c>
      <c r="C72">
        <v>60</v>
      </c>
      <c r="D72">
        <v>340.126533180092</v>
      </c>
    </row>
    <row r="73" spans="1:4" x14ac:dyDescent="0.25">
      <c r="A73">
        <v>1993</v>
      </c>
      <c r="B73" t="s">
        <v>114</v>
      </c>
      <c r="C73">
        <v>65</v>
      </c>
      <c r="D73">
        <v>264.99410495523603</v>
      </c>
    </row>
    <row r="74" spans="1:4" x14ac:dyDescent="0.25">
      <c r="A74">
        <v>1993</v>
      </c>
      <c r="B74" t="s">
        <v>114</v>
      </c>
      <c r="C74">
        <v>70</v>
      </c>
      <c r="D74">
        <v>207.12182916041399</v>
      </c>
    </row>
    <row r="75" spans="1:4" x14ac:dyDescent="0.25">
      <c r="A75">
        <v>1993</v>
      </c>
      <c r="B75" t="s">
        <v>114</v>
      </c>
      <c r="C75">
        <v>75</v>
      </c>
      <c r="D75">
        <v>105.166510155094</v>
      </c>
    </row>
    <row r="76" spans="1:4" x14ac:dyDescent="0.25">
      <c r="A76">
        <v>1993</v>
      </c>
      <c r="B76" t="s">
        <v>114</v>
      </c>
      <c r="C76">
        <v>80</v>
      </c>
      <c r="D76">
        <v>69.040609720137994</v>
      </c>
    </row>
    <row r="77" spans="1:4" x14ac:dyDescent="0.25">
      <c r="A77">
        <v>1993</v>
      </c>
      <c r="B77" t="s">
        <v>114</v>
      </c>
      <c r="C77">
        <v>85</v>
      </c>
      <c r="D77">
        <v>75.132428224856099</v>
      </c>
    </row>
    <row r="78" spans="1:4" x14ac:dyDescent="0.25">
      <c r="A78">
        <v>1994</v>
      </c>
      <c r="B78" t="s">
        <v>114</v>
      </c>
      <c r="C78">
        <v>0</v>
      </c>
      <c r="D78">
        <v>62.608052486307699</v>
      </c>
    </row>
    <row r="79" spans="1:4" x14ac:dyDescent="0.25">
      <c r="A79">
        <v>1994</v>
      </c>
      <c r="B79" t="s">
        <v>114</v>
      </c>
      <c r="C79">
        <v>1</v>
      </c>
      <c r="D79">
        <v>108.865719775906</v>
      </c>
    </row>
    <row r="80" spans="1:4" x14ac:dyDescent="0.25">
      <c r="A80">
        <v>1994</v>
      </c>
      <c r="B80" t="s">
        <v>114</v>
      </c>
      <c r="C80">
        <v>5</v>
      </c>
      <c r="D80">
        <v>95.639043541450206</v>
      </c>
    </row>
    <row r="81" spans="1:4" x14ac:dyDescent="0.25">
      <c r="A81">
        <v>1994</v>
      </c>
      <c r="B81" t="s">
        <v>114</v>
      </c>
      <c r="C81">
        <v>10</v>
      </c>
      <c r="D81">
        <v>186.19090391580201</v>
      </c>
    </row>
    <row r="82" spans="1:4" x14ac:dyDescent="0.25">
      <c r="A82">
        <v>1994</v>
      </c>
      <c r="B82" t="s">
        <v>114</v>
      </c>
      <c r="C82">
        <v>15</v>
      </c>
      <c r="D82">
        <v>1478.3354283588001</v>
      </c>
    </row>
    <row r="83" spans="1:4" x14ac:dyDescent="0.25">
      <c r="A83">
        <v>1994</v>
      </c>
      <c r="B83" t="s">
        <v>114</v>
      </c>
      <c r="C83">
        <v>20</v>
      </c>
      <c r="D83">
        <v>2693.1547686619001</v>
      </c>
    </row>
    <row r="84" spans="1:4" x14ac:dyDescent="0.25">
      <c r="A84">
        <v>1994</v>
      </c>
      <c r="B84" t="s">
        <v>114</v>
      </c>
      <c r="C84">
        <v>25</v>
      </c>
      <c r="D84">
        <v>2254.63957965802</v>
      </c>
    </row>
    <row r="85" spans="1:4" x14ac:dyDescent="0.25">
      <c r="A85">
        <v>1994</v>
      </c>
      <c r="B85" t="s">
        <v>114</v>
      </c>
      <c r="C85">
        <v>30</v>
      </c>
      <c r="D85">
        <v>1817.1418272875501</v>
      </c>
    </row>
    <row r="86" spans="1:4" x14ac:dyDescent="0.25">
      <c r="A86">
        <v>1994</v>
      </c>
      <c r="B86" t="s">
        <v>114</v>
      </c>
      <c r="C86">
        <v>35</v>
      </c>
      <c r="D86">
        <v>1443.74258282253</v>
      </c>
    </row>
    <row r="87" spans="1:4" x14ac:dyDescent="0.25">
      <c r="A87">
        <v>1994</v>
      </c>
      <c r="B87" t="s">
        <v>114</v>
      </c>
      <c r="C87">
        <v>40</v>
      </c>
      <c r="D87">
        <v>1045.9248591554301</v>
      </c>
    </row>
    <row r="88" spans="1:4" x14ac:dyDescent="0.25">
      <c r="A88">
        <v>1994</v>
      </c>
      <c r="B88" t="s">
        <v>114</v>
      </c>
      <c r="C88">
        <v>45</v>
      </c>
      <c r="D88">
        <v>887.20474434196399</v>
      </c>
    </row>
    <row r="89" spans="1:4" x14ac:dyDescent="0.25">
      <c r="A89">
        <v>1994</v>
      </c>
      <c r="B89" t="s">
        <v>114</v>
      </c>
      <c r="C89">
        <v>50</v>
      </c>
      <c r="D89">
        <v>666.42099488989197</v>
      </c>
    </row>
    <row r="90" spans="1:4" x14ac:dyDescent="0.25">
      <c r="A90">
        <v>1994</v>
      </c>
      <c r="B90" t="s">
        <v>114</v>
      </c>
      <c r="C90">
        <v>55</v>
      </c>
      <c r="D90">
        <v>521.94499294429704</v>
      </c>
    </row>
    <row r="91" spans="1:4" x14ac:dyDescent="0.25">
      <c r="A91">
        <v>1994</v>
      </c>
      <c r="B91" t="s">
        <v>114</v>
      </c>
      <c r="C91">
        <v>60</v>
      </c>
      <c r="D91">
        <v>406.97465336787297</v>
      </c>
    </row>
    <row r="92" spans="1:4" x14ac:dyDescent="0.25">
      <c r="A92">
        <v>1994</v>
      </c>
      <c r="B92" t="s">
        <v>114</v>
      </c>
      <c r="C92">
        <v>65</v>
      </c>
      <c r="D92">
        <v>285.89969399093098</v>
      </c>
    </row>
    <row r="93" spans="1:4" x14ac:dyDescent="0.25">
      <c r="A93">
        <v>1994</v>
      </c>
      <c r="B93" t="s">
        <v>114</v>
      </c>
      <c r="C93">
        <v>70</v>
      </c>
      <c r="D93">
        <v>178.05141084844499</v>
      </c>
    </row>
    <row r="94" spans="1:4" x14ac:dyDescent="0.25">
      <c r="A94">
        <v>1994</v>
      </c>
      <c r="B94" t="s">
        <v>114</v>
      </c>
      <c r="C94">
        <v>75</v>
      </c>
      <c r="D94">
        <v>101.743663341968</v>
      </c>
    </row>
    <row r="95" spans="1:4" x14ac:dyDescent="0.25">
      <c r="A95">
        <v>1994</v>
      </c>
      <c r="B95" t="s">
        <v>114</v>
      </c>
      <c r="C95">
        <v>80</v>
      </c>
      <c r="D95">
        <v>64.098507905440002</v>
      </c>
    </row>
    <row r="96" spans="1:4" x14ac:dyDescent="0.25">
      <c r="A96">
        <v>1994</v>
      </c>
      <c r="B96" t="s">
        <v>114</v>
      </c>
      <c r="C96">
        <v>85</v>
      </c>
      <c r="D96">
        <v>71.220564339377802</v>
      </c>
    </row>
    <row r="97" spans="1:4" x14ac:dyDescent="0.25">
      <c r="A97">
        <v>1995</v>
      </c>
      <c r="B97" t="s">
        <v>114</v>
      </c>
      <c r="C97">
        <v>0</v>
      </c>
      <c r="D97">
        <v>77.509988684348698</v>
      </c>
    </row>
    <row r="98" spans="1:4" x14ac:dyDescent="0.25">
      <c r="A98">
        <v>1995</v>
      </c>
      <c r="B98" t="s">
        <v>114</v>
      </c>
      <c r="C98">
        <v>1</v>
      </c>
      <c r="D98">
        <v>85.523211857725897</v>
      </c>
    </row>
    <row r="99" spans="1:4" x14ac:dyDescent="0.25">
      <c r="A99">
        <v>1995</v>
      </c>
      <c r="B99" t="s">
        <v>114</v>
      </c>
      <c r="C99">
        <v>5</v>
      </c>
      <c r="D99">
        <v>80.432544485242204</v>
      </c>
    </row>
    <row r="100" spans="1:4" x14ac:dyDescent="0.25">
      <c r="A100">
        <v>1995</v>
      </c>
      <c r="B100" t="s">
        <v>114</v>
      </c>
      <c r="C100">
        <v>10</v>
      </c>
      <c r="D100">
        <v>178.17335803692899</v>
      </c>
    </row>
    <row r="101" spans="1:4" x14ac:dyDescent="0.25">
      <c r="A101">
        <v>1995</v>
      </c>
      <c r="B101" t="s">
        <v>114</v>
      </c>
      <c r="C101">
        <v>15</v>
      </c>
      <c r="D101">
        <v>1393.7092545458299</v>
      </c>
    </row>
    <row r="102" spans="1:4" x14ac:dyDescent="0.25">
      <c r="A102">
        <v>1995</v>
      </c>
      <c r="B102" t="s">
        <v>114</v>
      </c>
      <c r="C102">
        <v>20</v>
      </c>
      <c r="D102">
        <v>2514.78968200694</v>
      </c>
    </row>
    <row r="103" spans="1:4" x14ac:dyDescent="0.25">
      <c r="A103">
        <v>1995</v>
      </c>
      <c r="B103" t="s">
        <v>114</v>
      </c>
      <c r="C103">
        <v>25</v>
      </c>
      <c r="D103">
        <v>2343.6762921433501</v>
      </c>
    </row>
    <row r="104" spans="1:4" x14ac:dyDescent="0.25">
      <c r="A104">
        <v>1995</v>
      </c>
      <c r="B104" t="s">
        <v>114</v>
      </c>
      <c r="C104">
        <v>30</v>
      </c>
      <c r="D104">
        <v>1756.2103877795601</v>
      </c>
    </row>
    <row r="105" spans="1:4" x14ac:dyDescent="0.25">
      <c r="A105">
        <v>1995</v>
      </c>
      <c r="B105" t="s">
        <v>114</v>
      </c>
      <c r="C105">
        <v>35</v>
      </c>
      <c r="D105">
        <v>1531.11054300622</v>
      </c>
    </row>
    <row r="106" spans="1:4" x14ac:dyDescent="0.25">
      <c r="A106">
        <v>1995</v>
      </c>
      <c r="B106" t="s">
        <v>114</v>
      </c>
      <c r="C106">
        <v>40</v>
      </c>
      <c r="D106">
        <v>1094.40438759217</v>
      </c>
    </row>
    <row r="107" spans="1:4" x14ac:dyDescent="0.25">
      <c r="A107">
        <v>1995</v>
      </c>
      <c r="B107" t="s">
        <v>114</v>
      </c>
      <c r="C107">
        <v>45</v>
      </c>
      <c r="D107">
        <v>854.13446092598599</v>
      </c>
    </row>
    <row r="108" spans="1:4" x14ac:dyDescent="0.25">
      <c r="A108">
        <v>1995</v>
      </c>
      <c r="B108" t="s">
        <v>114</v>
      </c>
      <c r="C108">
        <v>50</v>
      </c>
      <c r="D108">
        <v>635.31528808596397</v>
      </c>
    </row>
    <row r="109" spans="1:4" x14ac:dyDescent="0.25">
      <c r="A109">
        <v>1995</v>
      </c>
      <c r="B109" t="s">
        <v>114</v>
      </c>
      <c r="C109">
        <v>55</v>
      </c>
      <c r="D109">
        <v>511.103004197362</v>
      </c>
    </row>
    <row r="110" spans="1:4" x14ac:dyDescent="0.25">
      <c r="A110">
        <v>1995</v>
      </c>
      <c r="B110" t="s">
        <v>114</v>
      </c>
      <c r="C110">
        <v>60</v>
      </c>
      <c r="D110">
        <v>343.11098090540003</v>
      </c>
    </row>
    <row r="111" spans="1:4" x14ac:dyDescent="0.25">
      <c r="A111">
        <v>1995</v>
      </c>
      <c r="B111" t="s">
        <v>114</v>
      </c>
      <c r="C111">
        <v>65</v>
      </c>
      <c r="D111">
        <v>269.80537074163499</v>
      </c>
    </row>
    <row r="112" spans="1:4" x14ac:dyDescent="0.25">
      <c r="A112">
        <v>1995</v>
      </c>
      <c r="B112" t="s">
        <v>114</v>
      </c>
      <c r="C112">
        <v>70</v>
      </c>
      <c r="D112">
        <v>170.02829024095499</v>
      </c>
    </row>
    <row r="113" spans="1:4" x14ac:dyDescent="0.25">
      <c r="A113">
        <v>1995</v>
      </c>
      <c r="B113" t="s">
        <v>114</v>
      </c>
      <c r="C113">
        <v>75</v>
      </c>
      <c r="D113">
        <v>94.686413128196506</v>
      </c>
    </row>
    <row r="114" spans="1:4" x14ac:dyDescent="0.25">
      <c r="A114">
        <v>1995</v>
      </c>
      <c r="B114" t="s">
        <v>114</v>
      </c>
      <c r="C114">
        <v>80</v>
      </c>
      <c r="D114">
        <v>67.196809316784595</v>
      </c>
    </row>
    <row r="115" spans="1:4" x14ac:dyDescent="0.25">
      <c r="A115">
        <v>1995</v>
      </c>
      <c r="B115" t="s">
        <v>114</v>
      </c>
      <c r="C115">
        <v>85</v>
      </c>
      <c r="D115">
        <v>58.033608046314001</v>
      </c>
    </row>
    <row r="116" spans="1:4" x14ac:dyDescent="0.25">
      <c r="A116">
        <v>1996</v>
      </c>
      <c r="B116" t="s">
        <v>114</v>
      </c>
      <c r="C116">
        <v>0</v>
      </c>
      <c r="D116">
        <v>68.096330484474393</v>
      </c>
    </row>
    <row r="117" spans="1:4" x14ac:dyDescent="0.25">
      <c r="A117">
        <v>1996</v>
      </c>
      <c r="B117" t="s">
        <v>114</v>
      </c>
      <c r="C117">
        <v>1</v>
      </c>
      <c r="D117">
        <v>98.148203965964996</v>
      </c>
    </row>
    <row r="118" spans="1:4" x14ac:dyDescent="0.25">
      <c r="A118">
        <v>1996</v>
      </c>
      <c r="B118" t="s">
        <v>114</v>
      </c>
      <c r="C118">
        <v>5</v>
      </c>
      <c r="D118">
        <v>85.374503890982794</v>
      </c>
    </row>
    <row r="119" spans="1:4" x14ac:dyDescent="0.25">
      <c r="A119">
        <v>1996</v>
      </c>
      <c r="B119" t="s">
        <v>114</v>
      </c>
      <c r="C119">
        <v>10</v>
      </c>
      <c r="D119">
        <v>159.56901322481301</v>
      </c>
    </row>
    <row r="120" spans="1:4" x14ac:dyDescent="0.25">
      <c r="A120">
        <v>1996</v>
      </c>
      <c r="B120" t="s">
        <v>114</v>
      </c>
      <c r="C120">
        <v>15</v>
      </c>
      <c r="D120">
        <v>1365.7599423567301</v>
      </c>
    </row>
    <row r="121" spans="1:4" x14ac:dyDescent="0.25">
      <c r="A121">
        <v>1996</v>
      </c>
      <c r="B121" t="s">
        <v>114</v>
      </c>
      <c r="C121">
        <v>20</v>
      </c>
      <c r="D121">
        <v>2250.2279954123301</v>
      </c>
    </row>
    <row r="122" spans="1:4" x14ac:dyDescent="0.25">
      <c r="A122">
        <v>1996</v>
      </c>
      <c r="B122" t="s">
        <v>114</v>
      </c>
      <c r="C122">
        <v>25</v>
      </c>
      <c r="D122">
        <v>2120.1335132927402</v>
      </c>
    </row>
    <row r="123" spans="1:4" x14ac:dyDescent="0.25">
      <c r="A123">
        <v>1996</v>
      </c>
      <c r="B123" t="s">
        <v>114</v>
      </c>
      <c r="C123">
        <v>30</v>
      </c>
      <c r="D123">
        <v>1730.8664300755199</v>
      </c>
    </row>
    <row r="124" spans="1:4" x14ac:dyDescent="0.25">
      <c r="A124">
        <v>1996</v>
      </c>
      <c r="B124" t="s">
        <v>114</v>
      </c>
      <c r="C124">
        <v>35</v>
      </c>
      <c r="D124">
        <v>1355.8284308401301</v>
      </c>
    </row>
    <row r="125" spans="1:4" x14ac:dyDescent="0.25">
      <c r="A125">
        <v>1996</v>
      </c>
      <c r="B125" t="s">
        <v>114</v>
      </c>
      <c r="C125">
        <v>40</v>
      </c>
      <c r="D125">
        <v>912.69410112026901</v>
      </c>
    </row>
    <row r="126" spans="1:4" x14ac:dyDescent="0.25">
      <c r="A126">
        <v>1996</v>
      </c>
      <c r="B126" t="s">
        <v>114</v>
      </c>
      <c r="C126">
        <v>45</v>
      </c>
      <c r="D126">
        <v>866.87051827872097</v>
      </c>
    </row>
    <row r="127" spans="1:4" x14ac:dyDescent="0.25">
      <c r="A127">
        <v>1996</v>
      </c>
      <c r="B127" t="s">
        <v>114</v>
      </c>
      <c r="C127">
        <v>50</v>
      </c>
      <c r="D127">
        <v>566.01826160389805</v>
      </c>
    </row>
    <row r="128" spans="1:4" x14ac:dyDescent="0.25">
      <c r="A128">
        <v>1996</v>
      </c>
      <c r="B128" t="s">
        <v>114</v>
      </c>
      <c r="C128">
        <v>55</v>
      </c>
      <c r="D128">
        <v>443.13432971986299</v>
      </c>
    </row>
    <row r="129" spans="1:4" x14ac:dyDescent="0.25">
      <c r="A129">
        <v>1996</v>
      </c>
      <c r="B129" t="s">
        <v>114</v>
      </c>
      <c r="C129">
        <v>60</v>
      </c>
      <c r="D129">
        <v>342.51437870549</v>
      </c>
    </row>
    <row r="130" spans="1:4" x14ac:dyDescent="0.25">
      <c r="A130">
        <v>1996</v>
      </c>
      <c r="B130" t="s">
        <v>114</v>
      </c>
      <c r="C130">
        <v>65</v>
      </c>
      <c r="D130">
        <v>236.81261198332101</v>
      </c>
    </row>
    <row r="131" spans="1:4" x14ac:dyDescent="0.25">
      <c r="A131">
        <v>1996</v>
      </c>
      <c r="B131" t="s">
        <v>114</v>
      </c>
      <c r="C131">
        <v>70</v>
      </c>
      <c r="D131">
        <v>199.20717574562701</v>
      </c>
    </row>
    <row r="132" spans="1:4" x14ac:dyDescent="0.25">
      <c r="A132">
        <v>1996</v>
      </c>
      <c r="B132" t="s">
        <v>114</v>
      </c>
      <c r="C132">
        <v>75</v>
      </c>
      <c r="D132">
        <v>99.603587872813307</v>
      </c>
    </row>
    <row r="133" spans="1:4" x14ac:dyDescent="0.25">
      <c r="A133">
        <v>1996</v>
      </c>
      <c r="B133" t="s">
        <v>114</v>
      </c>
      <c r="C133">
        <v>80</v>
      </c>
      <c r="D133">
        <v>57.932699068881199</v>
      </c>
    </row>
    <row r="134" spans="1:4" x14ac:dyDescent="0.25">
      <c r="A134">
        <v>1996</v>
      </c>
      <c r="B134" t="s">
        <v>114</v>
      </c>
      <c r="C134">
        <v>85</v>
      </c>
      <c r="D134">
        <v>50.818157077965999</v>
      </c>
    </row>
    <row r="135" spans="1:4" x14ac:dyDescent="0.25">
      <c r="A135">
        <v>1997</v>
      </c>
      <c r="B135" t="s">
        <v>114</v>
      </c>
      <c r="C135">
        <v>0</v>
      </c>
      <c r="D135">
        <v>54.475409020117802</v>
      </c>
    </row>
    <row r="136" spans="1:4" x14ac:dyDescent="0.25">
      <c r="A136">
        <v>1997</v>
      </c>
      <c r="B136" t="s">
        <v>114</v>
      </c>
      <c r="C136">
        <v>1</v>
      </c>
      <c r="D136">
        <v>74.337424852575197</v>
      </c>
    </row>
    <row r="137" spans="1:4" x14ac:dyDescent="0.25">
      <c r="A137">
        <v>1997</v>
      </c>
      <c r="B137" t="s">
        <v>114</v>
      </c>
      <c r="C137">
        <v>5</v>
      </c>
      <c r="D137">
        <v>66.190857745443694</v>
      </c>
    </row>
    <row r="138" spans="1:4" x14ac:dyDescent="0.25">
      <c r="A138">
        <v>1997</v>
      </c>
      <c r="B138" t="s">
        <v>114</v>
      </c>
      <c r="C138">
        <v>10</v>
      </c>
      <c r="D138">
        <v>157.839737700673</v>
      </c>
    </row>
    <row r="139" spans="1:4" x14ac:dyDescent="0.25">
      <c r="A139">
        <v>1997</v>
      </c>
      <c r="B139" t="s">
        <v>114</v>
      </c>
      <c r="C139">
        <v>15</v>
      </c>
      <c r="D139">
        <v>1255.5896553866501</v>
      </c>
    </row>
    <row r="140" spans="1:4" x14ac:dyDescent="0.25">
      <c r="A140">
        <v>1997</v>
      </c>
      <c r="B140" t="s">
        <v>114</v>
      </c>
      <c r="C140">
        <v>20</v>
      </c>
      <c r="D140">
        <v>2113.95663408161</v>
      </c>
    </row>
    <row r="141" spans="1:4" x14ac:dyDescent="0.25">
      <c r="A141">
        <v>1997</v>
      </c>
      <c r="B141" t="s">
        <v>114</v>
      </c>
      <c r="C141">
        <v>25</v>
      </c>
      <c r="D141">
        <v>1912.4066283991301</v>
      </c>
    </row>
    <row r="142" spans="1:4" x14ac:dyDescent="0.25">
      <c r="A142">
        <v>1997</v>
      </c>
      <c r="B142" t="s">
        <v>114</v>
      </c>
      <c r="C142">
        <v>30</v>
      </c>
      <c r="D142">
        <v>1528.4996534755501</v>
      </c>
    </row>
    <row r="143" spans="1:4" x14ac:dyDescent="0.25">
      <c r="A143">
        <v>1997</v>
      </c>
      <c r="B143" t="s">
        <v>114</v>
      </c>
      <c r="C143">
        <v>35</v>
      </c>
      <c r="D143">
        <v>1298.35913269909</v>
      </c>
    </row>
    <row r="144" spans="1:4" x14ac:dyDescent="0.25">
      <c r="A144">
        <v>1997</v>
      </c>
      <c r="B144" t="s">
        <v>114</v>
      </c>
      <c r="C144">
        <v>40</v>
      </c>
      <c r="D144">
        <v>989.73039098453796</v>
      </c>
    </row>
    <row r="145" spans="1:4" x14ac:dyDescent="0.25">
      <c r="A145">
        <v>1997</v>
      </c>
      <c r="B145" t="s">
        <v>114</v>
      </c>
      <c r="C145">
        <v>45</v>
      </c>
      <c r="D145">
        <v>750.42692124459904</v>
      </c>
    </row>
    <row r="146" spans="1:4" x14ac:dyDescent="0.25">
      <c r="A146">
        <v>1997</v>
      </c>
      <c r="B146" t="s">
        <v>114</v>
      </c>
      <c r="C146">
        <v>50</v>
      </c>
      <c r="D146">
        <v>539.71007084746395</v>
      </c>
    </row>
    <row r="147" spans="1:4" x14ac:dyDescent="0.25">
      <c r="A147">
        <v>1997</v>
      </c>
      <c r="B147" t="s">
        <v>114</v>
      </c>
      <c r="C147">
        <v>55</v>
      </c>
      <c r="D147">
        <v>452.13447444579998</v>
      </c>
    </row>
    <row r="148" spans="1:4" x14ac:dyDescent="0.25">
      <c r="A148">
        <v>1997</v>
      </c>
      <c r="B148" t="s">
        <v>114</v>
      </c>
      <c r="C148">
        <v>60</v>
      </c>
      <c r="D148">
        <v>342.155818499524</v>
      </c>
    </row>
    <row r="149" spans="1:4" x14ac:dyDescent="0.25">
      <c r="A149">
        <v>1997</v>
      </c>
      <c r="B149" t="s">
        <v>114</v>
      </c>
      <c r="C149">
        <v>65</v>
      </c>
      <c r="D149">
        <v>247.45197587912</v>
      </c>
    </row>
    <row r="150" spans="1:4" x14ac:dyDescent="0.25">
      <c r="A150">
        <v>1997</v>
      </c>
      <c r="B150" t="s">
        <v>114</v>
      </c>
      <c r="C150">
        <v>70</v>
      </c>
      <c r="D150">
        <v>157.839737700673</v>
      </c>
    </row>
    <row r="151" spans="1:4" x14ac:dyDescent="0.25">
      <c r="A151">
        <v>1997</v>
      </c>
      <c r="B151" t="s">
        <v>114</v>
      </c>
      <c r="C151">
        <v>75</v>
      </c>
      <c r="D151">
        <v>109.97865594627601</v>
      </c>
    </row>
    <row r="152" spans="1:4" x14ac:dyDescent="0.25">
      <c r="A152">
        <v>1997</v>
      </c>
      <c r="B152" t="s">
        <v>114</v>
      </c>
      <c r="C152">
        <v>80</v>
      </c>
      <c r="D152">
        <v>52.952686196354897</v>
      </c>
    </row>
    <row r="153" spans="1:4" x14ac:dyDescent="0.25">
      <c r="A153">
        <v>1997</v>
      </c>
      <c r="B153" t="s">
        <v>114</v>
      </c>
      <c r="C153">
        <v>85</v>
      </c>
      <c r="D153">
        <v>54.637315814187701</v>
      </c>
    </row>
    <row r="154" spans="1:4" x14ac:dyDescent="0.25">
      <c r="A154">
        <v>1998</v>
      </c>
      <c r="B154" t="s">
        <v>114</v>
      </c>
      <c r="C154">
        <v>0</v>
      </c>
      <c r="D154">
        <v>43.209810763521297</v>
      </c>
    </row>
    <row r="155" spans="1:4" x14ac:dyDescent="0.25">
      <c r="A155">
        <v>1998</v>
      </c>
      <c r="B155" t="s">
        <v>114</v>
      </c>
      <c r="C155">
        <v>1</v>
      </c>
      <c r="D155">
        <v>81.336114378393006</v>
      </c>
    </row>
    <row r="156" spans="1:4" x14ac:dyDescent="0.25">
      <c r="A156">
        <v>1998</v>
      </c>
      <c r="B156" t="s">
        <v>114</v>
      </c>
      <c r="C156">
        <v>5</v>
      </c>
      <c r="D156">
        <v>92.519830105422002</v>
      </c>
    </row>
    <row r="157" spans="1:4" x14ac:dyDescent="0.25">
      <c r="A157">
        <v>1998</v>
      </c>
      <c r="B157" t="s">
        <v>114</v>
      </c>
      <c r="C157">
        <v>10</v>
      </c>
      <c r="D157">
        <v>170.80584019462501</v>
      </c>
    </row>
    <row r="158" spans="1:4" x14ac:dyDescent="0.25">
      <c r="A158">
        <v>1998</v>
      </c>
      <c r="B158" t="s">
        <v>114</v>
      </c>
      <c r="C158">
        <v>15</v>
      </c>
      <c r="D158">
        <v>1139.72230272723</v>
      </c>
    </row>
    <row r="159" spans="1:4" x14ac:dyDescent="0.25">
      <c r="A159">
        <v>1998</v>
      </c>
      <c r="B159" t="s">
        <v>114</v>
      </c>
      <c r="C159">
        <v>20</v>
      </c>
      <c r="D159">
        <v>1971.3840722463001</v>
      </c>
    </row>
    <row r="160" spans="1:4" x14ac:dyDescent="0.25">
      <c r="A160">
        <v>1998</v>
      </c>
      <c r="B160" t="s">
        <v>114</v>
      </c>
      <c r="C160">
        <v>25</v>
      </c>
      <c r="D160">
        <v>1933.6871905599</v>
      </c>
    </row>
    <row r="161" spans="1:4" x14ac:dyDescent="0.25">
      <c r="A161">
        <v>1998</v>
      </c>
      <c r="B161" t="s">
        <v>114</v>
      </c>
      <c r="C161">
        <v>30</v>
      </c>
      <c r="D161">
        <v>1513.8684288678401</v>
      </c>
    </row>
    <row r="162" spans="1:4" x14ac:dyDescent="0.25">
      <c r="A162">
        <v>1998</v>
      </c>
      <c r="B162" t="s">
        <v>114</v>
      </c>
      <c r="C162">
        <v>35</v>
      </c>
      <c r="D162">
        <v>1357.2964086894301</v>
      </c>
    </row>
    <row r="163" spans="1:4" x14ac:dyDescent="0.25">
      <c r="A163">
        <v>1998</v>
      </c>
      <c r="B163" t="s">
        <v>114</v>
      </c>
      <c r="C163">
        <v>40</v>
      </c>
      <c r="D163">
        <v>1005.51771400288</v>
      </c>
    </row>
    <row r="164" spans="1:4" x14ac:dyDescent="0.25">
      <c r="A164">
        <v>1998</v>
      </c>
      <c r="B164" t="s">
        <v>114</v>
      </c>
      <c r="C164">
        <v>45</v>
      </c>
      <c r="D164">
        <v>790.99371232987198</v>
      </c>
    </row>
    <row r="165" spans="1:4" x14ac:dyDescent="0.25">
      <c r="A165">
        <v>1998</v>
      </c>
      <c r="B165" t="s">
        <v>114</v>
      </c>
      <c r="C165">
        <v>50</v>
      </c>
      <c r="D165">
        <v>547.88947724294803</v>
      </c>
    </row>
    <row r="166" spans="1:4" x14ac:dyDescent="0.25">
      <c r="A166">
        <v>1998</v>
      </c>
      <c r="B166" t="s">
        <v>114</v>
      </c>
      <c r="C166">
        <v>55</v>
      </c>
      <c r="D166">
        <v>439.21501764332203</v>
      </c>
    </row>
    <row r="167" spans="1:4" x14ac:dyDescent="0.25">
      <c r="A167">
        <v>1998</v>
      </c>
      <c r="B167" t="s">
        <v>114</v>
      </c>
      <c r="C167">
        <v>60</v>
      </c>
      <c r="D167">
        <v>337.413773696497</v>
      </c>
    </row>
    <row r="168" spans="1:4" x14ac:dyDescent="0.25">
      <c r="A168">
        <v>1998</v>
      </c>
      <c r="B168" t="s">
        <v>114</v>
      </c>
      <c r="C168">
        <v>65</v>
      </c>
      <c r="D168">
        <v>239.941537416259</v>
      </c>
    </row>
    <row r="169" spans="1:4" x14ac:dyDescent="0.25">
      <c r="A169">
        <v>1998</v>
      </c>
      <c r="B169" t="s">
        <v>114</v>
      </c>
      <c r="C169">
        <v>70</v>
      </c>
      <c r="D169">
        <v>157.58872160813601</v>
      </c>
    </row>
    <row r="170" spans="1:4" x14ac:dyDescent="0.25">
      <c r="A170">
        <v>1998</v>
      </c>
      <c r="B170" t="s">
        <v>114</v>
      </c>
      <c r="C170">
        <v>75</v>
      </c>
      <c r="D170">
        <v>105.736948691911</v>
      </c>
    </row>
    <row r="171" spans="1:4" x14ac:dyDescent="0.25">
      <c r="A171">
        <v>1998</v>
      </c>
      <c r="B171" t="s">
        <v>114</v>
      </c>
      <c r="C171">
        <v>80</v>
      </c>
      <c r="D171">
        <v>50.8350714864956</v>
      </c>
    </row>
    <row r="172" spans="1:4" x14ac:dyDescent="0.25">
      <c r="A172">
        <v>1998</v>
      </c>
      <c r="B172" t="s">
        <v>114</v>
      </c>
      <c r="C172">
        <v>85</v>
      </c>
      <c r="D172">
        <v>57.951981494605</v>
      </c>
    </row>
    <row r="173" spans="1:4" x14ac:dyDescent="0.25">
      <c r="A173">
        <v>1999</v>
      </c>
      <c r="B173" t="s">
        <v>114</v>
      </c>
      <c r="C173">
        <v>0</v>
      </c>
      <c r="D173">
        <v>54.612078346868103</v>
      </c>
    </row>
    <row r="174" spans="1:4" x14ac:dyDescent="0.25">
      <c r="A174">
        <v>1999</v>
      </c>
      <c r="B174" t="s">
        <v>114</v>
      </c>
      <c r="C174">
        <v>1</v>
      </c>
      <c r="D174">
        <v>84.445238934189604</v>
      </c>
    </row>
    <row r="175" spans="1:4" x14ac:dyDescent="0.25">
      <c r="A175">
        <v>1999</v>
      </c>
      <c r="B175" t="s">
        <v>114</v>
      </c>
      <c r="C175">
        <v>5</v>
      </c>
      <c r="D175">
        <v>73.2537012441163</v>
      </c>
    </row>
    <row r="176" spans="1:4" x14ac:dyDescent="0.25">
      <c r="A176">
        <v>1999</v>
      </c>
      <c r="B176" t="s">
        <v>114</v>
      </c>
      <c r="C176">
        <v>10</v>
      </c>
      <c r="D176">
        <v>150.57705255734999</v>
      </c>
    </row>
    <row r="177" spans="1:4" x14ac:dyDescent="0.25">
      <c r="A177">
        <v>1999</v>
      </c>
      <c r="B177" t="s">
        <v>114</v>
      </c>
      <c r="C177">
        <v>15</v>
      </c>
      <c r="D177">
        <v>1012.325454693</v>
      </c>
    </row>
    <row r="178" spans="1:4" x14ac:dyDescent="0.25">
      <c r="A178">
        <v>1999</v>
      </c>
      <c r="B178" t="s">
        <v>114</v>
      </c>
      <c r="C178">
        <v>20</v>
      </c>
      <c r="D178">
        <v>1534.2580760573301</v>
      </c>
    </row>
    <row r="179" spans="1:4" x14ac:dyDescent="0.25">
      <c r="A179">
        <v>1999</v>
      </c>
      <c r="B179" t="s">
        <v>114</v>
      </c>
      <c r="C179">
        <v>25</v>
      </c>
      <c r="D179">
        <v>1739.5243333942999</v>
      </c>
    </row>
    <row r="180" spans="1:4" x14ac:dyDescent="0.25">
      <c r="A180">
        <v>1999</v>
      </c>
      <c r="B180" t="s">
        <v>114</v>
      </c>
      <c r="C180">
        <v>30</v>
      </c>
      <c r="D180">
        <v>1478.3003876069599</v>
      </c>
    </row>
    <row r="181" spans="1:4" x14ac:dyDescent="0.25">
      <c r="A181">
        <v>1999</v>
      </c>
      <c r="B181" t="s">
        <v>114</v>
      </c>
      <c r="C181">
        <v>35</v>
      </c>
      <c r="D181">
        <v>1243.2780961154201</v>
      </c>
    </row>
    <row r="182" spans="1:4" x14ac:dyDescent="0.25">
      <c r="A182">
        <v>1999</v>
      </c>
      <c r="B182" t="s">
        <v>114</v>
      </c>
      <c r="C182">
        <v>40</v>
      </c>
      <c r="D182">
        <v>885.14889003307201</v>
      </c>
    </row>
    <row r="183" spans="1:4" x14ac:dyDescent="0.25">
      <c r="A183">
        <v>1999</v>
      </c>
      <c r="B183" t="s">
        <v>114</v>
      </c>
      <c r="C183">
        <v>45</v>
      </c>
      <c r="D183">
        <v>700.99722440550204</v>
      </c>
    </row>
    <row r="184" spans="1:4" x14ac:dyDescent="0.25">
      <c r="A184">
        <v>1999</v>
      </c>
      <c r="B184" t="s">
        <v>114</v>
      </c>
      <c r="C184">
        <v>50</v>
      </c>
      <c r="D184">
        <v>532.02765439796997</v>
      </c>
    </row>
    <row r="185" spans="1:4" x14ac:dyDescent="0.25">
      <c r="A185">
        <v>1999</v>
      </c>
      <c r="B185" t="s">
        <v>114</v>
      </c>
      <c r="C185">
        <v>55</v>
      </c>
      <c r="D185">
        <v>406.96500691175697</v>
      </c>
    </row>
    <row r="186" spans="1:4" x14ac:dyDescent="0.25">
      <c r="A186">
        <v>1999</v>
      </c>
      <c r="B186" t="s">
        <v>114</v>
      </c>
      <c r="C186">
        <v>60</v>
      </c>
      <c r="D186">
        <v>275.71879218271602</v>
      </c>
    </row>
    <row r="187" spans="1:4" x14ac:dyDescent="0.25">
      <c r="A187">
        <v>1999</v>
      </c>
      <c r="B187" t="s">
        <v>114</v>
      </c>
      <c r="C187">
        <v>65</v>
      </c>
      <c r="D187">
        <v>213.65662862867299</v>
      </c>
    </row>
    <row r="188" spans="1:4" x14ac:dyDescent="0.25">
      <c r="A188">
        <v>1999</v>
      </c>
      <c r="B188" t="s">
        <v>114</v>
      </c>
      <c r="C188">
        <v>70</v>
      </c>
      <c r="D188">
        <v>171.94271542021701</v>
      </c>
    </row>
    <row r="189" spans="1:4" x14ac:dyDescent="0.25">
      <c r="A189">
        <v>1999</v>
      </c>
      <c r="B189" t="s">
        <v>114</v>
      </c>
      <c r="C189">
        <v>75</v>
      </c>
      <c r="D189">
        <v>105.810901797057</v>
      </c>
    </row>
    <row r="190" spans="1:4" x14ac:dyDescent="0.25">
      <c r="A190">
        <v>1999</v>
      </c>
      <c r="B190" t="s">
        <v>114</v>
      </c>
      <c r="C190">
        <v>80</v>
      </c>
      <c r="D190">
        <v>50.8706258639697</v>
      </c>
    </row>
    <row r="191" spans="1:4" x14ac:dyDescent="0.25">
      <c r="A191">
        <v>1999</v>
      </c>
      <c r="B191" t="s">
        <v>114</v>
      </c>
      <c r="C191">
        <v>85</v>
      </c>
      <c r="D191">
        <v>52.9054508985285</v>
      </c>
    </row>
    <row r="192" spans="1:4" x14ac:dyDescent="0.25">
      <c r="A192">
        <v>2000</v>
      </c>
      <c r="B192" t="s">
        <v>114</v>
      </c>
      <c r="C192">
        <v>0</v>
      </c>
      <c r="D192">
        <v>48.534833900579599</v>
      </c>
    </row>
    <row r="193" spans="1:4" x14ac:dyDescent="0.25">
      <c r="A193">
        <v>2000</v>
      </c>
      <c r="B193" t="s">
        <v>114</v>
      </c>
      <c r="C193">
        <v>1</v>
      </c>
      <c r="D193">
        <v>63.947381594929801</v>
      </c>
    </row>
    <row r="194" spans="1:4" x14ac:dyDescent="0.25">
      <c r="A194">
        <v>2000</v>
      </c>
      <c r="B194" t="s">
        <v>114</v>
      </c>
      <c r="C194">
        <v>5</v>
      </c>
      <c r="D194">
        <v>64.962419398023897</v>
      </c>
    </row>
    <row r="195" spans="1:4" x14ac:dyDescent="0.25">
      <c r="A195">
        <v>2000</v>
      </c>
      <c r="B195" t="s">
        <v>114</v>
      </c>
      <c r="C195">
        <v>10</v>
      </c>
      <c r="D195">
        <v>160.37597288887201</v>
      </c>
    </row>
    <row r="196" spans="1:4" x14ac:dyDescent="0.25">
      <c r="A196">
        <v>2000</v>
      </c>
      <c r="B196" t="s">
        <v>114</v>
      </c>
      <c r="C196">
        <v>15</v>
      </c>
      <c r="D196">
        <v>840.45130096193498</v>
      </c>
    </row>
    <row r="197" spans="1:4" x14ac:dyDescent="0.25">
      <c r="A197">
        <v>2000</v>
      </c>
      <c r="B197" t="s">
        <v>114</v>
      </c>
      <c r="C197">
        <v>20</v>
      </c>
      <c r="D197">
        <v>1429.1732267565301</v>
      </c>
    </row>
    <row r="198" spans="1:4" x14ac:dyDescent="0.25">
      <c r="A198">
        <v>2000</v>
      </c>
      <c r="B198" t="s">
        <v>114</v>
      </c>
      <c r="C198">
        <v>25</v>
      </c>
      <c r="D198">
        <v>1434.248415772</v>
      </c>
    </row>
    <row r="199" spans="1:4" x14ac:dyDescent="0.25">
      <c r="A199">
        <v>2000</v>
      </c>
      <c r="B199" t="s">
        <v>114</v>
      </c>
      <c r="C199">
        <v>30</v>
      </c>
      <c r="D199">
        <v>1234.1885430590301</v>
      </c>
    </row>
    <row r="200" spans="1:4" x14ac:dyDescent="0.25">
      <c r="A200">
        <v>2000</v>
      </c>
      <c r="B200" t="s">
        <v>114</v>
      </c>
      <c r="C200">
        <v>35</v>
      </c>
      <c r="D200">
        <v>1067.8197688550199</v>
      </c>
    </row>
    <row r="201" spans="1:4" x14ac:dyDescent="0.25">
      <c r="A201">
        <v>2000</v>
      </c>
      <c r="B201" t="s">
        <v>114</v>
      </c>
      <c r="C201">
        <v>40</v>
      </c>
      <c r="D201">
        <v>782.59414618557003</v>
      </c>
    </row>
    <row r="202" spans="1:4" x14ac:dyDescent="0.25">
      <c r="A202">
        <v>2000</v>
      </c>
      <c r="B202" t="s">
        <v>114</v>
      </c>
      <c r="C202">
        <v>45</v>
      </c>
      <c r="D202">
        <v>659.67447800559796</v>
      </c>
    </row>
    <row r="203" spans="1:4" x14ac:dyDescent="0.25">
      <c r="A203">
        <v>2000</v>
      </c>
      <c r="B203" t="s">
        <v>114</v>
      </c>
      <c r="C203">
        <v>50</v>
      </c>
      <c r="D203">
        <v>430.376028511909</v>
      </c>
    </row>
    <row r="204" spans="1:4" x14ac:dyDescent="0.25">
      <c r="A204">
        <v>2000</v>
      </c>
      <c r="B204" t="s">
        <v>114</v>
      </c>
      <c r="C204">
        <v>55</v>
      </c>
      <c r="D204">
        <v>374.548949341732</v>
      </c>
    </row>
    <row r="205" spans="1:4" x14ac:dyDescent="0.25">
      <c r="A205">
        <v>2000</v>
      </c>
      <c r="B205" t="s">
        <v>114</v>
      </c>
      <c r="C205">
        <v>60</v>
      </c>
      <c r="D205">
        <v>270.00005562303699</v>
      </c>
    </row>
    <row r="206" spans="1:4" x14ac:dyDescent="0.25">
      <c r="A206">
        <v>2000</v>
      </c>
      <c r="B206" t="s">
        <v>114</v>
      </c>
      <c r="C206">
        <v>65</v>
      </c>
      <c r="D206">
        <v>198.947409406448</v>
      </c>
    </row>
    <row r="207" spans="1:4" x14ac:dyDescent="0.25">
      <c r="A207">
        <v>2000</v>
      </c>
      <c r="B207" t="s">
        <v>114</v>
      </c>
      <c r="C207">
        <v>70</v>
      </c>
      <c r="D207">
        <v>137.03010341770701</v>
      </c>
    </row>
    <row r="208" spans="1:4" x14ac:dyDescent="0.25">
      <c r="A208">
        <v>2000</v>
      </c>
      <c r="B208" t="s">
        <v>114</v>
      </c>
      <c r="C208">
        <v>75</v>
      </c>
      <c r="D208">
        <v>111.654158340354</v>
      </c>
    </row>
    <row r="209" spans="1:4" x14ac:dyDescent="0.25">
      <c r="A209">
        <v>2000</v>
      </c>
      <c r="B209" t="s">
        <v>114</v>
      </c>
      <c r="C209">
        <v>80</v>
      </c>
      <c r="D209">
        <v>38.5714365175767</v>
      </c>
    </row>
    <row r="210" spans="1:4" x14ac:dyDescent="0.25">
      <c r="A210">
        <v>2000</v>
      </c>
      <c r="B210" t="s">
        <v>114</v>
      </c>
      <c r="C210">
        <v>85</v>
      </c>
      <c r="D210">
        <v>54.812041367082699</v>
      </c>
    </row>
    <row r="211" spans="1:4" x14ac:dyDescent="0.25">
      <c r="A211">
        <v>2001</v>
      </c>
      <c r="B211" t="s">
        <v>114</v>
      </c>
      <c r="C211">
        <v>0</v>
      </c>
      <c r="D211">
        <v>43.6519060717917</v>
      </c>
    </row>
    <row r="212" spans="1:4" x14ac:dyDescent="0.25">
      <c r="A212">
        <v>2001</v>
      </c>
      <c r="B212" t="s">
        <v>114</v>
      </c>
      <c r="C212">
        <v>1</v>
      </c>
      <c r="D212">
        <v>64.874790446495894</v>
      </c>
    </row>
    <row r="213" spans="1:4" x14ac:dyDescent="0.25">
      <c r="A213">
        <v>2001</v>
      </c>
      <c r="B213" t="s">
        <v>114</v>
      </c>
      <c r="C213">
        <v>5</v>
      </c>
      <c r="D213">
        <v>59.806447442863401</v>
      </c>
    </row>
    <row r="214" spans="1:4" x14ac:dyDescent="0.25">
      <c r="A214">
        <v>2001</v>
      </c>
      <c r="B214" t="s">
        <v>114</v>
      </c>
      <c r="C214">
        <v>10</v>
      </c>
      <c r="D214">
        <v>142.927272702436</v>
      </c>
    </row>
    <row r="215" spans="1:4" x14ac:dyDescent="0.25">
      <c r="A215">
        <v>2001</v>
      </c>
      <c r="B215" t="s">
        <v>114</v>
      </c>
      <c r="C215">
        <v>15</v>
      </c>
      <c r="D215">
        <v>848.44061880807897</v>
      </c>
    </row>
    <row r="216" spans="1:4" x14ac:dyDescent="0.25">
      <c r="A216">
        <v>2001</v>
      </c>
      <c r="B216" t="s">
        <v>114</v>
      </c>
      <c r="C216">
        <v>20</v>
      </c>
      <c r="D216">
        <v>1373.1671637669001</v>
      </c>
    </row>
    <row r="217" spans="1:4" x14ac:dyDescent="0.25">
      <c r="A217">
        <v>2001</v>
      </c>
      <c r="B217" t="s">
        <v>114</v>
      </c>
      <c r="C217">
        <v>25</v>
      </c>
      <c r="D217">
        <v>1356.20065340573</v>
      </c>
    </row>
    <row r="218" spans="1:4" x14ac:dyDescent="0.25">
      <c r="A218">
        <v>2001</v>
      </c>
      <c r="B218" t="s">
        <v>114</v>
      </c>
      <c r="C218">
        <v>30</v>
      </c>
      <c r="D218">
        <v>1105.9124433926099</v>
      </c>
    </row>
    <row r="219" spans="1:4" x14ac:dyDescent="0.25">
      <c r="A219">
        <v>2001</v>
      </c>
      <c r="B219" t="s">
        <v>114</v>
      </c>
      <c r="C219">
        <v>35</v>
      </c>
      <c r="D219">
        <v>1035.8699131097201</v>
      </c>
    </row>
    <row r="220" spans="1:4" x14ac:dyDescent="0.25">
      <c r="A220">
        <v>2001</v>
      </c>
      <c r="B220" t="s">
        <v>114</v>
      </c>
      <c r="C220">
        <v>40</v>
      </c>
      <c r="D220">
        <v>770.28389403646099</v>
      </c>
    </row>
    <row r="221" spans="1:4" x14ac:dyDescent="0.25">
      <c r="A221">
        <v>2001</v>
      </c>
      <c r="B221" t="s">
        <v>114</v>
      </c>
      <c r="C221">
        <v>45</v>
      </c>
      <c r="D221">
        <v>617.32417784243705</v>
      </c>
    </row>
    <row r="222" spans="1:4" x14ac:dyDescent="0.25">
      <c r="A222">
        <v>2001</v>
      </c>
      <c r="B222" t="s">
        <v>114</v>
      </c>
      <c r="C222">
        <v>50</v>
      </c>
      <c r="D222">
        <v>442.97317851747999</v>
      </c>
    </row>
    <row r="223" spans="1:4" x14ac:dyDescent="0.25">
      <c r="A223">
        <v>2001</v>
      </c>
      <c r="B223" t="s">
        <v>114</v>
      </c>
      <c r="C223">
        <v>55</v>
      </c>
      <c r="D223">
        <v>323.259778246412</v>
      </c>
    </row>
    <row r="224" spans="1:4" x14ac:dyDescent="0.25">
      <c r="A224">
        <v>2001</v>
      </c>
      <c r="B224" t="s">
        <v>114</v>
      </c>
      <c r="C224">
        <v>60</v>
      </c>
      <c r="D224">
        <v>244.29413277508601</v>
      </c>
    </row>
    <row r="225" spans="1:4" x14ac:dyDescent="0.25">
      <c r="A225">
        <v>2001</v>
      </c>
      <c r="B225" t="s">
        <v>114</v>
      </c>
      <c r="C225">
        <v>65</v>
      </c>
      <c r="D225">
        <v>189.55602833585499</v>
      </c>
    </row>
    <row r="226" spans="1:4" x14ac:dyDescent="0.25">
      <c r="A226">
        <v>2001</v>
      </c>
      <c r="B226" t="s">
        <v>114</v>
      </c>
      <c r="C226">
        <v>70</v>
      </c>
      <c r="D226">
        <v>171.309993522778</v>
      </c>
    </row>
    <row r="227" spans="1:4" x14ac:dyDescent="0.25">
      <c r="A227">
        <v>2001</v>
      </c>
      <c r="B227" t="s">
        <v>114</v>
      </c>
      <c r="C227">
        <v>75</v>
      </c>
      <c r="D227">
        <v>88.189168263205303</v>
      </c>
    </row>
    <row r="228" spans="1:4" x14ac:dyDescent="0.25">
      <c r="A228">
        <v>2001</v>
      </c>
      <c r="B228" t="s">
        <v>114</v>
      </c>
      <c r="C228">
        <v>80</v>
      </c>
      <c r="D228">
        <v>51.697098637051397</v>
      </c>
    </row>
    <row r="229" spans="1:4" x14ac:dyDescent="0.25">
      <c r="A229">
        <v>2001</v>
      </c>
      <c r="B229" t="s">
        <v>114</v>
      </c>
      <c r="C229">
        <v>85</v>
      </c>
      <c r="D229">
        <v>34.464732424700898</v>
      </c>
    </row>
    <row r="230" spans="1:4" x14ac:dyDescent="0.25">
      <c r="A230">
        <v>2002</v>
      </c>
      <c r="B230" t="s">
        <v>114</v>
      </c>
      <c r="C230">
        <v>0</v>
      </c>
      <c r="D230">
        <v>45.361534317786301</v>
      </c>
    </row>
    <row r="231" spans="1:4" x14ac:dyDescent="0.25">
      <c r="A231">
        <v>2002</v>
      </c>
      <c r="B231" t="s">
        <v>114</v>
      </c>
      <c r="C231">
        <v>1</v>
      </c>
      <c r="D231">
        <v>70.126410540627703</v>
      </c>
    </row>
    <row r="232" spans="1:4" x14ac:dyDescent="0.25">
      <c r="A232">
        <v>2002</v>
      </c>
      <c r="B232" t="s">
        <v>114</v>
      </c>
      <c r="C232">
        <v>5</v>
      </c>
      <c r="D232">
        <v>38.620342036867399</v>
      </c>
    </row>
    <row r="233" spans="1:4" x14ac:dyDescent="0.25">
      <c r="A233">
        <v>2002</v>
      </c>
      <c r="B233" t="s">
        <v>114</v>
      </c>
      <c r="C233">
        <v>10</v>
      </c>
      <c r="D233">
        <v>113.828376529715</v>
      </c>
    </row>
    <row r="234" spans="1:4" x14ac:dyDescent="0.25">
      <c r="A234">
        <v>2002</v>
      </c>
      <c r="B234" t="s">
        <v>114</v>
      </c>
      <c r="C234">
        <v>15</v>
      </c>
      <c r="D234">
        <v>822.20675546909899</v>
      </c>
    </row>
    <row r="235" spans="1:4" x14ac:dyDescent="0.25">
      <c r="A235">
        <v>2002</v>
      </c>
      <c r="B235" t="s">
        <v>114</v>
      </c>
      <c r="C235">
        <v>20</v>
      </c>
      <c r="D235">
        <v>1275.4876120070701</v>
      </c>
    </row>
    <row r="236" spans="1:4" x14ac:dyDescent="0.25">
      <c r="A236">
        <v>2002</v>
      </c>
      <c r="B236" t="s">
        <v>114</v>
      </c>
      <c r="C236">
        <v>25</v>
      </c>
      <c r="D236">
        <v>1316.14060362482</v>
      </c>
    </row>
    <row r="237" spans="1:4" x14ac:dyDescent="0.25">
      <c r="A237">
        <v>2002</v>
      </c>
      <c r="B237" t="s">
        <v>114</v>
      </c>
      <c r="C237">
        <v>30</v>
      </c>
      <c r="D237">
        <v>1154.54496194425</v>
      </c>
    </row>
    <row r="238" spans="1:4" x14ac:dyDescent="0.25">
      <c r="A238">
        <v>2002</v>
      </c>
      <c r="B238" t="s">
        <v>114</v>
      </c>
      <c r="C238">
        <v>35</v>
      </c>
      <c r="D238">
        <v>989.80476972489498</v>
      </c>
    </row>
    <row r="239" spans="1:4" x14ac:dyDescent="0.25">
      <c r="A239">
        <v>2002</v>
      </c>
      <c r="B239" t="s">
        <v>114</v>
      </c>
      <c r="C239">
        <v>40</v>
      </c>
      <c r="D239">
        <v>765.29256720424098</v>
      </c>
    </row>
    <row r="240" spans="1:4" x14ac:dyDescent="0.25">
      <c r="A240">
        <v>2002</v>
      </c>
      <c r="B240" t="s">
        <v>114</v>
      </c>
      <c r="C240">
        <v>45</v>
      </c>
      <c r="D240">
        <v>634.18666923698095</v>
      </c>
    </row>
    <row r="241" spans="1:4" x14ac:dyDescent="0.25">
      <c r="A241">
        <v>2002</v>
      </c>
      <c r="B241" t="s">
        <v>114</v>
      </c>
      <c r="C241">
        <v>50</v>
      </c>
      <c r="D241">
        <v>419.74213845332201</v>
      </c>
    </row>
    <row r="242" spans="1:4" x14ac:dyDescent="0.25">
      <c r="A242">
        <v>2002</v>
      </c>
      <c r="B242" t="s">
        <v>114</v>
      </c>
      <c r="C242">
        <v>55</v>
      </c>
      <c r="D242">
        <v>377.97168292762802</v>
      </c>
    </row>
    <row r="243" spans="1:4" x14ac:dyDescent="0.25">
      <c r="A243">
        <v>2002</v>
      </c>
      <c r="B243" t="s">
        <v>114</v>
      </c>
      <c r="C243">
        <v>60</v>
      </c>
      <c r="D243">
        <v>244.93427449697501</v>
      </c>
    </row>
    <row r="244" spans="1:4" x14ac:dyDescent="0.25">
      <c r="A244">
        <v>2002</v>
      </c>
      <c r="B244" t="s">
        <v>114</v>
      </c>
      <c r="C244">
        <v>65</v>
      </c>
      <c r="D244">
        <v>187.00376144167399</v>
      </c>
    </row>
    <row r="245" spans="1:4" x14ac:dyDescent="0.25">
      <c r="A245">
        <v>2002</v>
      </c>
      <c r="B245" t="s">
        <v>114</v>
      </c>
      <c r="C245">
        <v>70</v>
      </c>
      <c r="D245">
        <v>129.073248386373</v>
      </c>
    </row>
    <row r="246" spans="1:4" x14ac:dyDescent="0.25">
      <c r="A246">
        <v>2002</v>
      </c>
      <c r="B246" t="s">
        <v>114</v>
      </c>
      <c r="C246">
        <v>75</v>
      </c>
      <c r="D246">
        <v>86.387607187729799</v>
      </c>
    </row>
    <row r="247" spans="1:4" x14ac:dyDescent="0.25">
      <c r="A247">
        <v>2002</v>
      </c>
      <c r="B247" t="s">
        <v>114</v>
      </c>
      <c r="C247">
        <v>80</v>
      </c>
      <c r="D247">
        <v>54.881538683969502</v>
      </c>
    </row>
    <row r="248" spans="1:4" x14ac:dyDescent="0.25">
      <c r="A248">
        <v>2002</v>
      </c>
      <c r="B248" t="s">
        <v>114</v>
      </c>
      <c r="C248">
        <v>85</v>
      </c>
      <c r="D248">
        <v>54.881538683969502</v>
      </c>
    </row>
    <row r="249" spans="1:4" x14ac:dyDescent="0.25">
      <c r="A249">
        <v>2003</v>
      </c>
      <c r="B249" t="s">
        <v>114</v>
      </c>
      <c r="C249">
        <v>0</v>
      </c>
      <c r="D249">
        <v>43.329704465063003</v>
      </c>
    </row>
    <row r="250" spans="1:4" x14ac:dyDescent="0.25">
      <c r="A250">
        <v>2003</v>
      </c>
      <c r="B250" t="s">
        <v>114</v>
      </c>
      <c r="C250">
        <v>1</v>
      </c>
      <c r="D250">
        <v>58.009942174751302</v>
      </c>
    </row>
    <row r="251" spans="1:4" x14ac:dyDescent="0.25">
      <c r="A251">
        <v>2003</v>
      </c>
      <c r="B251" t="s">
        <v>114</v>
      </c>
      <c r="C251">
        <v>5</v>
      </c>
      <c r="D251">
        <v>36.637858215632399</v>
      </c>
    </row>
    <row r="252" spans="1:4" x14ac:dyDescent="0.25">
      <c r="A252">
        <v>2003</v>
      </c>
      <c r="B252" t="s">
        <v>114</v>
      </c>
      <c r="C252">
        <v>10</v>
      </c>
      <c r="D252">
        <v>105.488432488996</v>
      </c>
    </row>
    <row r="253" spans="1:4" x14ac:dyDescent="0.25">
      <c r="A253">
        <v>2003</v>
      </c>
      <c r="B253" t="s">
        <v>114</v>
      </c>
      <c r="C253">
        <v>15</v>
      </c>
      <c r="D253">
        <v>713.24488232363001</v>
      </c>
    </row>
    <row r="254" spans="1:4" x14ac:dyDescent="0.25">
      <c r="A254">
        <v>2003</v>
      </c>
      <c r="B254" t="s">
        <v>114</v>
      </c>
      <c r="C254">
        <v>20</v>
      </c>
      <c r="D254">
        <v>1159.97303725082</v>
      </c>
    </row>
    <row r="255" spans="1:4" x14ac:dyDescent="0.25">
      <c r="A255">
        <v>2003</v>
      </c>
      <c r="B255" t="s">
        <v>114</v>
      </c>
      <c r="C255">
        <v>25</v>
      </c>
      <c r="D255">
        <v>1331.90144995488</v>
      </c>
    </row>
    <row r="256" spans="1:4" x14ac:dyDescent="0.25">
      <c r="A256">
        <v>2003</v>
      </c>
      <c r="B256" t="s">
        <v>114</v>
      </c>
      <c r="C256">
        <v>30</v>
      </c>
      <c r="D256">
        <v>1185.52906632554</v>
      </c>
    </row>
    <row r="257" spans="1:4" x14ac:dyDescent="0.25">
      <c r="A257">
        <v>2003</v>
      </c>
      <c r="B257" t="s">
        <v>114</v>
      </c>
      <c r="C257">
        <v>35</v>
      </c>
      <c r="D257">
        <v>965.81465129542096</v>
      </c>
    </row>
    <row r="258" spans="1:4" x14ac:dyDescent="0.25">
      <c r="A258">
        <v>2003</v>
      </c>
      <c r="B258" t="s">
        <v>114</v>
      </c>
      <c r="C258">
        <v>40</v>
      </c>
      <c r="D258">
        <v>795.85569790623799</v>
      </c>
    </row>
    <row r="259" spans="1:4" x14ac:dyDescent="0.25">
      <c r="A259">
        <v>2003</v>
      </c>
      <c r="B259" t="s">
        <v>114</v>
      </c>
      <c r="C259">
        <v>45</v>
      </c>
      <c r="D259">
        <v>661.51688444891897</v>
      </c>
    </row>
    <row r="260" spans="1:4" x14ac:dyDescent="0.25">
      <c r="A260">
        <v>2003</v>
      </c>
      <c r="B260" t="s">
        <v>114</v>
      </c>
      <c r="C260">
        <v>50</v>
      </c>
      <c r="D260">
        <v>480.36302993829202</v>
      </c>
    </row>
    <row r="261" spans="1:4" x14ac:dyDescent="0.25">
      <c r="A261">
        <v>2003</v>
      </c>
      <c r="B261" t="s">
        <v>114</v>
      </c>
      <c r="C261">
        <v>55</v>
      </c>
      <c r="D261">
        <v>354.165962751113</v>
      </c>
    </row>
    <row r="262" spans="1:4" x14ac:dyDescent="0.25">
      <c r="A262">
        <v>2003</v>
      </c>
      <c r="B262" t="s">
        <v>114</v>
      </c>
      <c r="C262">
        <v>60</v>
      </c>
      <c r="D262">
        <v>241.19923325291299</v>
      </c>
    </row>
    <row r="263" spans="1:4" x14ac:dyDescent="0.25">
      <c r="A263">
        <v>2003</v>
      </c>
      <c r="B263" t="s">
        <v>114</v>
      </c>
      <c r="C263">
        <v>65</v>
      </c>
      <c r="D263">
        <v>199.472783618443</v>
      </c>
    </row>
    <row r="264" spans="1:4" x14ac:dyDescent="0.25">
      <c r="A264">
        <v>2003</v>
      </c>
      <c r="B264" t="s">
        <v>114</v>
      </c>
      <c r="C264">
        <v>70</v>
      </c>
      <c r="D264">
        <v>140.257329905181</v>
      </c>
    </row>
    <row r="265" spans="1:4" x14ac:dyDescent="0.25">
      <c r="A265">
        <v>2003</v>
      </c>
      <c r="B265" t="s">
        <v>114</v>
      </c>
      <c r="C265">
        <v>75</v>
      </c>
      <c r="D265">
        <v>99.736391809221601</v>
      </c>
    </row>
    <row r="266" spans="1:4" x14ac:dyDescent="0.25">
      <c r="A266">
        <v>2003</v>
      </c>
      <c r="B266" t="s">
        <v>114</v>
      </c>
      <c r="C266">
        <v>80</v>
      </c>
      <c r="D266">
        <v>70.222561579962104</v>
      </c>
    </row>
    <row r="267" spans="1:4" x14ac:dyDescent="0.25">
      <c r="A267">
        <v>2003</v>
      </c>
      <c r="B267" t="s">
        <v>114</v>
      </c>
      <c r="C267">
        <v>85</v>
      </c>
      <c r="D267">
        <v>45.7973227695405</v>
      </c>
    </row>
    <row r="268" spans="1:4" x14ac:dyDescent="0.25">
      <c r="A268">
        <v>2004</v>
      </c>
      <c r="B268" t="s">
        <v>114</v>
      </c>
      <c r="C268">
        <v>0</v>
      </c>
      <c r="D268">
        <v>46.279293535842299</v>
      </c>
    </row>
    <row r="269" spans="1:4" x14ac:dyDescent="0.25">
      <c r="A269">
        <v>2004</v>
      </c>
      <c r="B269" t="s">
        <v>114</v>
      </c>
      <c r="C269">
        <v>1</v>
      </c>
      <c r="D269">
        <v>40.616426394325799</v>
      </c>
    </row>
    <row r="270" spans="1:4" x14ac:dyDescent="0.25">
      <c r="A270">
        <v>2004</v>
      </c>
      <c r="B270" t="s">
        <v>114</v>
      </c>
      <c r="C270">
        <v>5</v>
      </c>
      <c r="D270">
        <v>29.446909135886202</v>
      </c>
    </row>
    <row r="271" spans="1:4" x14ac:dyDescent="0.25">
      <c r="A271">
        <v>2004</v>
      </c>
      <c r="B271" t="s">
        <v>114</v>
      </c>
      <c r="C271">
        <v>10</v>
      </c>
      <c r="D271">
        <v>94.433191366807407</v>
      </c>
    </row>
    <row r="272" spans="1:4" x14ac:dyDescent="0.25">
      <c r="A272">
        <v>2004</v>
      </c>
      <c r="B272" t="s">
        <v>114</v>
      </c>
      <c r="C272">
        <v>15</v>
      </c>
      <c r="D272">
        <v>662.89112315773605</v>
      </c>
    </row>
    <row r="273" spans="1:4" x14ac:dyDescent="0.25">
      <c r="A273">
        <v>2004</v>
      </c>
      <c r="B273" t="s">
        <v>114</v>
      </c>
      <c r="C273">
        <v>20</v>
      </c>
      <c r="D273">
        <v>1123.0441898031099</v>
      </c>
    </row>
    <row r="274" spans="1:4" x14ac:dyDescent="0.25">
      <c r="A274">
        <v>2004</v>
      </c>
      <c r="B274" t="s">
        <v>114</v>
      </c>
      <c r="C274">
        <v>25</v>
      </c>
      <c r="D274">
        <v>1159.5989735579999</v>
      </c>
    </row>
    <row r="275" spans="1:4" x14ac:dyDescent="0.25">
      <c r="A275">
        <v>2004</v>
      </c>
      <c r="B275" t="s">
        <v>114</v>
      </c>
      <c r="C275">
        <v>30</v>
      </c>
      <c r="D275">
        <v>1136.2445283812599</v>
      </c>
    </row>
    <row r="276" spans="1:4" x14ac:dyDescent="0.25">
      <c r="A276">
        <v>2004</v>
      </c>
      <c r="B276" t="s">
        <v>114</v>
      </c>
      <c r="C276">
        <v>35</v>
      </c>
      <c r="D276">
        <v>999.07203542005698</v>
      </c>
    </row>
    <row r="277" spans="1:4" x14ac:dyDescent="0.25">
      <c r="A277">
        <v>2004</v>
      </c>
      <c r="B277" t="s">
        <v>114</v>
      </c>
      <c r="C277">
        <v>40</v>
      </c>
      <c r="D277">
        <v>818.42099184566405</v>
      </c>
    </row>
    <row r="278" spans="1:4" x14ac:dyDescent="0.25">
      <c r="A278">
        <v>2004</v>
      </c>
      <c r="B278" t="s">
        <v>114</v>
      </c>
      <c r="C278">
        <v>45</v>
      </c>
      <c r="D278">
        <v>536.1368284051</v>
      </c>
    </row>
    <row r="279" spans="1:4" x14ac:dyDescent="0.25">
      <c r="A279">
        <v>2004</v>
      </c>
      <c r="B279" t="s">
        <v>114</v>
      </c>
      <c r="C279">
        <v>50</v>
      </c>
      <c r="D279">
        <v>413.27213856226501</v>
      </c>
    </row>
    <row r="280" spans="1:4" x14ac:dyDescent="0.25">
      <c r="A280">
        <v>2004</v>
      </c>
      <c r="B280" t="s">
        <v>114</v>
      </c>
      <c r="C280">
        <v>55</v>
      </c>
      <c r="D280">
        <v>347.27044567148499</v>
      </c>
    </row>
    <row r="281" spans="1:4" x14ac:dyDescent="0.25">
      <c r="A281">
        <v>2004</v>
      </c>
      <c r="B281" t="s">
        <v>114</v>
      </c>
      <c r="C281">
        <v>60</v>
      </c>
      <c r="D281">
        <v>234.559862427231</v>
      </c>
    </row>
    <row r="282" spans="1:4" x14ac:dyDescent="0.25">
      <c r="A282">
        <v>2004</v>
      </c>
      <c r="B282" t="s">
        <v>114</v>
      </c>
      <c r="C282">
        <v>65</v>
      </c>
      <c r="D282">
        <v>191.91261471318899</v>
      </c>
    </row>
    <row r="283" spans="1:4" x14ac:dyDescent="0.25">
      <c r="A283">
        <v>2004</v>
      </c>
      <c r="B283" t="s">
        <v>114</v>
      </c>
      <c r="C283">
        <v>70</v>
      </c>
      <c r="D283">
        <v>132.00338578155899</v>
      </c>
    </row>
    <row r="284" spans="1:4" x14ac:dyDescent="0.25">
      <c r="A284">
        <v>2004</v>
      </c>
      <c r="B284" t="s">
        <v>114</v>
      </c>
      <c r="C284">
        <v>75</v>
      </c>
      <c r="D284">
        <v>88.340727407658505</v>
      </c>
    </row>
    <row r="285" spans="1:4" x14ac:dyDescent="0.25">
      <c r="A285">
        <v>2004</v>
      </c>
      <c r="B285" t="s">
        <v>114</v>
      </c>
      <c r="C285">
        <v>80</v>
      </c>
      <c r="D285">
        <v>55.847586292197903</v>
      </c>
    </row>
    <row r="286" spans="1:4" x14ac:dyDescent="0.25">
      <c r="A286">
        <v>2004</v>
      </c>
      <c r="B286" t="s">
        <v>114</v>
      </c>
      <c r="C286">
        <v>85</v>
      </c>
      <c r="D286">
        <v>48.436604013531799</v>
      </c>
    </row>
    <row r="287" spans="1:4" x14ac:dyDescent="0.25">
      <c r="A287">
        <v>2005</v>
      </c>
      <c r="B287" t="s">
        <v>114</v>
      </c>
      <c r="C287">
        <v>0</v>
      </c>
      <c r="D287">
        <v>35.840142060038801</v>
      </c>
    </row>
    <row r="288" spans="1:4" x14ac:dyDescent="0.25">
      <c r="A288">
        <v>2005</v>
      </c>
      <c r="B288" t="s">
        <v>114</v>
      </c>
      <c r="C288">
        <v>1</v>
      </c>
      <c r="D288">
        <v>61.330724380814999</v>
      </c>
    </row>
    <row r="289" spans="1:4" x14ac:dyDescent="0.25">
      <c r="A289">
        <v>2005</v>
      </c>
      <c r="B289" t="s">
        <v>114</v>
      </c>
      <c r="C289">
        <v>5</v>
      </c>
      <c r="D289">
        <v>41.909328326890197</v>
      </c>
    </row>
    <row r="290" spans="1:4" x14ac:dyDescent="0.25">
      <c r="A290">
        <v>2005</v>
      </c>
      <c r="B290" t="s">
        <v>114</v>
      </c>
      <c r="C290">
        <v>10</v>
      </c>
      <c r="D290">
        <v>121.63927002195</v>
      </c>
    </row>
    <row r="291" spans="1:4" x14ac:dyDescent="0.25">
      <c r="A291">
        <v>2005</v>
      </c>
      <c r="B291" t="s">
        <v>114</v>
      </c>
      <c r="C291">
        <v>15</v>
      </c>
      <c r="D291">
        <v>691.84275770161503</v>
      </c>
    </row>
    <row r="292" spans="1:4" x14ac:dyDescent="0.25">
      <c r="A292">
        <v>2005</v>
      </c>
      <c r="B292" t="s">
        <v>114</v>
      </c>
      <c r="C292">
        <v>20</v>
      </c>
      <c r="D292">
        <v>1195.9491254258901</v>
      </c>
    </row>
    <row r="293" spans="1:4" x14ac:dyDescent="0.25">
      <c r="A293">
        <v>2005</v>
      </c>
      <c r="B293" t="s">
        <v>114</v>
      </c>
      <c r="C293">
        <v>25</v>
      </c>
      <c r="D293">
        <v>1293.05610569552</v>
      </c>
    </row>
    <row r="294" spans="1:4" x14ac:dyDescent="0.25">
      <c r="A294">
        <v>2005</v>
      </c>
      <c r="B294" t="s">
        <v>114</v>
      </c>
      <c r="C294">
        <v>30</v>
      </c>
      <c r="D294">
        <v>1190.83823172749</v>
      </c>
    </row>
    <row r="295" spans="1:4" x14ac:dyDescent="0.25">
      <c r="A295">
        <v>2005</v>
      </c>
      <c r="B295" t="s">
        <v>114</v>
      </c>
      <c r="C295">
        <v>35</v>
      </c>
      <c r="D295">
        <v>1011.9569522834501</v>
      </c>
    </row>
    <row r="296" spans="1:4" x14ac:dyDescent="0.25">
      <c r="A296">
        <v>2005</v>
      </c>
      <c r="B296" t="s">
        <v>114</v>
      </c>
      <c r="C296">
        <v>40</v>
      </c>
      <c r="D296">
        <v>796.174429482184</v>
      </c>
    </row>
    <row r="297" spans="1:4" x14ac:dyDescent="0.25">
      <c r="A297">
        <v>2005</v>
      </c>
      <c r="B297" t="s">
        <v>114</v>
      </c>
      <c r="C297">
        <v>45</v>
      </c>
      <c r="D297">
        <v>625.57338868431304</v>
      </c>
    </row>
    <row r="298" spans="1:4" x14ac:dyDescent="0.25">
      <c r="A298">
        <v>2005</v>
      </c>
      <c r="B298" t="s">
        <v>114</v>
      </c>
      <c r="C298">
        <v>50</v>
      </c>
      <c r="D298">
        <v>466.113505294194</v>
      </c>
    </row>
    <row r="299" spans="1:4" x14ac:dyDescent="0.25">
      <c r="A299">
        <v>2005</v>
      </c>
      <c r="B299" t="s">
        <v>114</v>
      </c>
      <c r="C299">
        <v>55</v>
      </c>
      <c r="D299">
        <v>360.82909510712801</v>
      </c>
    </row>
    <row r="300" spans="1:4" x14ac:dyDescent="0.25">
      <c r="A300">
        <v>2005</v>
      </c>
      <c r="B300" t="s">
        <v>114</v>
      </c>
      <c r="C300">
        <v>60</v>
      </c>
      <c r="D300">
        <v>301.542728205674</v>
      </c>
    </row>
    <row r="301" spans="1:4" x14ac:dyDescent="0.25">
      <c r="A301">
        <v>2005</v>
      </c>
      <c r="B301" t="s">
        <v>114</v>
      </c>
      <c r="C301">
        <v>65</v>
      </c>
      <c r="D301">
        <v>191.14742432020699</v>
      </c>
    </row>
    <row r="302" spans="1:4" x14ac:dyDescent="0.25">
      <c r="A302">
        <v>2005</v>
      </c>
      <c r="B302" t="s">
        <v>114</v>
      </c>
      <c r="C302">
        <v>70</v>
      </c>
      <c r="D302">
        <v>133.90541489811301</v>
      </c>
    </row>
    <row r="303" spans="1:4" x14ac:dyDescent="0.25">
      <c r="A303">
        <v>2005</v>
      </c>
      <c r="B303" t="s">
        <v>114</v>
      </c>
      <c r="C303">
        <v>75</v>
      </c>
      <c r="D303">
        <v>84.840835393460694</v>
      </c>
    </row>
    <row r="304" spans="1:4" x14ac:dyDescent="0.25">
      <c r="A304">
        <v>2005</v>
      </c>
      <c r="B304" t="s">
        <v>114</v>
      </c>
      <c r="C304">
        <v>80</v>
      </c>
      <c r="D304">
        <v>53.153294463373001</v>
      </c>
    </row>
    <row r="305" spans="1:4" x14ac:dyDescent="0.25">
      <c r="A305">
        <v>2005</v>
      </c>
      <c r="B305" t="s">
        <v>114</v>
      </c>
      <c r="C305">
        <v>85</v>
      </c>
      <c r="D305">
        <v>47.020222025291503</v>
      </c>
    </row>
    <row r="306" spans="1:4" x14ac:dyDescent="0.25">
      <c r="A306">
        <v>2006</v>
      </c>
      <c r="B306" t="s">
        <v>114</v>
      </c>
      <c r="C306">
        <v>0</v>
      </c>
      <c r="D306">
        <v>40.341588910094998</v>
      </c>
    </row>
    <row r="307" spans="1:4" x14ac:dyDescent="0.25">
      <c r="A307">
        <v>2006</v>
      </c>
      <c r="B307" t="s">
        <v>114</v>
      </c>
      <c r="C307">
        <v>1</v>
      </c>
      <c r="D307">
        <v>61.151277307157599</v>
      </c>
    </row>
    <row r="308" spans="1:4" x14ac:dyDescent="0.25">
      <c r="A308">
        <v>2006</v>
      </c>
      <c r="B308" t="s">
        <v>114</v>
      </c>
      <c r="C308">
        <v>5</v>
      </c>
      <c r="D308">
        <v>43.825082070129596</v>
      </c>
    </row>
    <row r="309" spans="1:4" x14ac:dyDescent="0.25">
      <c r="A309">
        <v>2006</v>
      </c>
      <c r="B309" t="s">
        <v>114</v>
      </c>
      <c r="C309">
        <v>10</v>
      </c>
      <c r="D309">
        <v>108.033923242645</v>
      </c>
    </row>
    <row r="310" spans="1:4" x14ac:dyDescent="0.25">
      <c r="A310">
        <v>2006</v>
      </c>
      <c r="B310" t="s">
        <v>114</v>
      </c>
      <c r="C310">
        <v>15</v>
      </c>
      <c r="D310">
        <v>713.43156858350596</v>
      </c>
    </row>
    <row r="311" spans="1:4" x14ac:dyDescent="0.25">
      <c r="A311">
        <v>2006</v>
      </c>
      <c r="B311" t="s">
        <v>114</v>
      </c>
      <c r="C311">
        <v>20</v>
      </c>
      <c r="D311">
        <v>1174.89985349056</v>
      </c>
    </row>
    <row r="312" spans="1:4" x14ac:dyDescent="0.25">
      <c r="A312">
        <v>2006</v>
      </c>
      <c r="B312" t="s">
        <v>114</v>
      </c>
      <c r="C312">
        <v>25</v>
      </c>
      <c r="D312">
        <v>1285.19601140543</v>
      </c>
    </row>
    <row r="313" spans="1:4" x14ac:dyDescent="0.25">
      <c r="A313">
        <v>2006</v>
      </c>
      <c r="B313" t="s">
        <v>114</v>
      </c>
      <c r="C313">
        <v>30</v>
      </c>
      <c r="D313">
        <v>1342.1808370512899</v>
      </c>
    </row>
    <row r="314" spans="1:4" x14ac:dyDescent="0.25">
      <c r="A314">
        <v>2006</v>
      </c>
      <c r="B314" t="s">
        <v>114</v>
      </c>
      <c r="C314">
        <v>35</v>
      </c>
      <c r="D314">
        <v>1125.1835024517</v>
      </c>
    </row>
    <row r="315" spans="1:4" x14ac:dyDescent="0.25">
      <c r="A315">
        <v>2006</v>
      </c>
      <c r="B315" t="s">
        <v>114</v>
      </c>
      <c r="C315">
        <v>40</v>
      </c>
      <c r="D315">
        <v>889.53365805538499</v>
      </c>
    </row>
    <row r="316" spans="1:4" x14ac:dyDescent="0.25">
      <c r="A316">
        <v>2006</v>
      </c>
      <c r="B316" t="s">
        <v>114</v>
      </c>
      <c r="C316">
        <v>45</v>
      </c>
      <c r="D316">
        <v>683.87511788504605</v>
      </c>
    </row>
    <row r="317" spans="1:4" x14ac:dyDescent="0.25">
      <c r="A317">
        <v>2006</v>
      </c>
      <c r="B317" t="s">
        <v>114</v>
      </c>
      <c r="C317">
        <v>50</v>
      </c>
      <c r="D317">
        <v>517.74748120060099</v>
      </c>
    </row>
    <row r="318" spans="1:4" x14ac:dyDescent="0.25">
      <c r="A318">
        <v>2006</v>
      </c>
      <c r="B318" t="s">
        <v>114</v>
      </c>
      <c r="C318">
        <v>55</v>
      </c>
      <c r="D318">
        <v>356.71578429175298</v>
      </c>
    </row>
    <row r="319" spans="1:4" x14ac:dyDescent="0.25">
      <c r="A319">
        <v>2006</v>
      </c>
      <c r="B319" t="s">
        <v>114</v>
      </c>
      <c r="C319">
        <v>60</v>
      </c>
      <c r="D319">
        <v>269.06562015149399</v>
      </c>
    </row>
    <row r="320" spans="1:4" x14ac:dyDescent="0.25">
      <c r="A320">
        <v>2006</v>
      </c>
      <c r="B320" t="s">
        <v>114</v>
      </c>
      <c r="C320">
        <v>65</v>
      </c>
      <c r="D320">
        <v>193.64571147266599</v>
      </c>
    </row>
    <row r="321" spans="1:4" x14ac:dyDescent="0.25">
      <c r="A321">
        <v>2006</v>
      </c>
      <c r="B321" t="s">
        <v>114</v>
      </c>
      <c r="C321">
        <v>70</v>
      </c>
      <c r="D321">
        <v>155.935757133252</v>
      </c>
    </row>
    <row r="322" spans="1:4" x14ac:dyDescent="0.25">
      <c r="A322">
        <v>2006</v>
      </c>
      <c r="B322" t="s">
        <v>114</v>
      </c>
      <c r="C322">
        <v>75</v>
      </c>
      <c r="D322">
        <v>90.707728005617199</v>
      </c>
    </row>
    <row r="323" spans="1:4" x14ac:dyDescent="0.25">
      <c r="A323">
        <v>2006</v>
      </c>
      <c r="B323" t="s">
        <v>114</v>
      </c>
      <c r="C323">
        <v>80</v>
      </c>
      <c r="D323">
        <v>51.978585711084001</v>
      </c>
    </row>
    <row r="324" spans="1:4" x14ac:dyDescent="0.25">
      <c r="A324">
        <v>2006</v>
      </c>
      <c r="B324" t="s">
        <v>114</v>
      </c>
      <c r="C324">
        <v>85</v>
      </c>
      <c r="D324">
        <v>46.528145777185202</v>
      </c>
    </row>
    <row r="325" spans="1:4" x14ac:dyDescent="0.25">
      <c r="A325">
        <v>2007</v>
      </c>
      <c r="B325" t="s">
        <v>114</v>
      </c>
      <c r="C325">
        <v>0</v>
      </c>
      <c r="D325">
        <v>28.927674135058201</v>
      </c>
    </row>
    <row r="326" spans="1:4" x14ac:dyDescent="0.25">
      <c r="A326">
        <v>2007</v>
      </c>
      <c r="B326" t="s">
        <v>114</v>
      </c>
      <c r="C326">
        <v>1</v>
      </c>
      <c r="D326">
        <v>39.652560123906298</v>
      </c>
    </row>
    <row r="327" spans="1:4" x14ac:dyDescent="0.25">
      <c r="A327">
        <v>2007</v>
      </c>
      <c r="B327" t="s">
        <v>114</v>
      </c>
      <c r="C327">
        <v>5</v>
      </c>
      <c r="D327">
        <v>27.4517723934736</v>
      </c>
    </row>
    <row r="328" spans="1:4" x14ac:dyDescent="0.25">
      <c r="A328">
        <v>2007</v>
      </c>
      <c r="B328" t="s">
        <v>114</v>
      </c>
      <c r="C328">
        <v>10</v>
      </c>
      <c r="D328">
        <v>79.305120247812596</v>
      </c>
    </row>
    <row r="329" spans="1:4" x14ac:dyDescent="0.25">
      <c r="A329">
        <v>2007</v>
      </c>
      <c r="B329" t="s">
        <v>114</v>
      </c>
      <c r="C329">
        <v>15</v>
      </c>
      <c r="D329">
        <v>599.87206341294097</v>
      </c>
    </row>
    <row r="330" spans="1:4" x14ac:dyDescent="0.25">
      <c r="A330">
        <v>2007</v>
      </c>
      <c r="B330" t="s">
        <v>114</v>
      </c>
      <c r="C330">
        <v>20</v>
      </c>
      <c r="D330">
        <v>984.08380283185204</v>
      </c>
    </row>
    <row r="331" spans="1:4" x14ac:dyDescent="0.25">
      <c r="A331">
        <v>2007</v>
      </c>
      <c r="B331" t="s">
        <v>114</v>
      </c>
      <c r="C331">
        <v>25</v>
      </c>
      <c r="D331">
        <v>1094.00396649547</v>
      </c>
    </row>
    <row r="332" spans="1:4" x14ac:dyDescent="0.25">
      <c r="A332">
        <v>2007</v>
      </c>
      <c r="B332" t="s">
        <v>114</v>
      </c>
      <c r="C332">
        <v>30</v>
      </c>
      <c r="D332">
        <v>1152.97444052589</v>
      </c>
    </row>
    <row r="333" spans="1:4" x14ac:dyDescent="0.25">
      <c r="A333">
        <v>2007</v>
      </c>
      <c r="B333" t="s">
        <v>114</v>
      </c>
      <c r="C333">
        <v>35</v>
      </c>
      <c r="D333">
        <v>1007.58172007157</v>
      </c>
    </row>
    <row r="334" spans="1:4" x14ac:dyDescent="0.25">
      <c r="A334">
        <v>2007</v>
      </c>
      <c r="B334" t="s">
        <v>114</v>
      </c>
      <c r="C334">
        <v>40</v>
      </c>
      <c r="D334">
        <v>792.03447016725704</v>
      </c>
    </row>
    <row r="335" spans="1:4" x14ac:dyDescent="0.25">
      <c r="A335">
        <v>2007</v>
      </c>
      <c r="B335" t="s">
        <v>114</v>
      </c>
      <c r="C335">
        <v>45</v>
      </c>
      <c r="D335">
        <v>597.83859879120303</v>
      </c>
    </row>
    <row r="336" spans="1:4" x14ac:dyDescent="0.25">
      <c r="A336">
        <v>2007</v>
      </c>
      <c r="B336" t="s">
        <v>114</v>
      </c>
      <c r="C336">
        <v>50</v>
      </c>
      <c r="D336">
        <v>464.64666606731203</v>
      </c>
    </row>
    <row r="337" spans="1:4" x14ac:dyDescent="0.25">
      <c r="A337">
        <v>2007</v>
      </c>
      <c r="B337" t="s">
        <v>114</v>
      </c>
      <c r="C337">
        <v>55</v>
      </c>
      <c r="D337">
        <v>316.20374868038101</v>
      </c>
    </row>
    <row r="338" spans="1:4" x14ac:dyDescent="0.25">
      <c r="A338">
        <v>2007</v>
      </c>
      <c r="B338" t="s">
        <v>114</v>
      </c>
      <c r="C338">
        <v>60</v>
      </c>
      <c r="D338">
        <v>204.36319448474799</v>
      </c>
    </row>
    <row r="339" spans="1:4" x14ac:dyDescent="0.25">
      <c r="A339">
        <v>2007</v>
      </c>
      <c r="B339" t="s">
        <v>114</v>
      </c>
      <c r="C339">
        <v>65</v>
      </c>
      <c r="D339">
        <v>146.40945276519199</v>
      </c>
    </row>
    <row r="340" spans="1:4" x14ac:dyDescent="0.25">
      <c r="A340">
        <v>2007</v>
      </c>
      <c r="B340" t="s">
        <v>114</v>
      </c>
      <c r="C340">
        <v>70</v>
      </c>
      <c r="D340">
        <v>120.99114499345799</v>
      </c>
    </row>
    <row r="341" spans="1:4" x14ac:dyDescent="0.25">
      <c r="A341">
        <v>2007</v>
      </c>
      <c r="B341" t="s">
        <v>114</v>
      </c>
      <c r="C341">
        <v>75</v>
      </c>
      <c r="D341">
        <v>67.104332517379902</v>
      </c>
    </row>
    <row r="342" spans="1:4" x14ac:dyDescent="0.25">
      <c r="A342">
        <v>2007</v>
      </c>
      <c r="B342" t="s">
        <v>114</v>
      </c>
      <c r="C342">
        <v>80</v>
      </c>
      <c r="D342">
        <v>38.635827813036897</v>
      </c>
    </row>
    <row r="343" spans="1:4" x14ac:dyDescent="0.25">
      <c r="A343">
        <v>2007</v>
      </c>
      <c r="B343" t="s">
        <v>114</v>
      </c>
      <c r="C343">
        <v>85</v>
      </c>
      <c r="D343">
        <v>23.384843149996001</v>
      </c>
    </row>
    <row r="344" spans="1:4" x14ac:dyDescent="0.25">
      <c r="A344">
        <v>2008</v>
      </c>
      <c r="B344" t="s">
        <v>114</v>
      </c>
      <c r="C344">
        <v>0</v>
      </c>
      <c r="D344">
        <v>41.682486027612498</v>
      </c>
    </row>
    <row r="345" spans="1:4" x14ac:dyDescent="0.25">
      <c r="A345">
        <v>2008</v>
      </c>
      <c r="B345" t="s">
        <v>114</v>
      </c>
      <c r="C345">
        <v>1</v>
      </c>
      <c r="D345">
        <v>43.715778028959399</v>
      </c>
    </row>
    <row r="346" spans="1:4" x14ac:dyDescent="0.25">
      <c r="A346">
        <v>2008</v>
      </c>
      <c r="B346" t="s">
        <v>114</v>
      </c>
      <c r="C346">
        <v>5</v>
      </c>
      <c r="D346">
        <v>28.466088018857299</v>
      </c>
    </row>
    <row r="347" spans="1:4" x14ac:dyDescent="0.25">
      <c r="A347">
        <v>2008</v>
      </c>
      <c r="B347" t="s">
        <v>114</v>
      </c>
      <c r="C347">
        <v>10</v>
      </c>
      <c r="D347">
        <v>85.398264056572003</v>
      </c>
    </row>
    <row r="348" spans="1:4" x14ac:dyDescent="0.25">
      <c r="A348">
        <v>2008</v>
      </c>
      <c r="B348" t="s">
        <v>114</v>
      </c>
      <c r="C348">
        <v>15</v>
      </c>
      <c r="D348">
        <v>991.22985065663897</v>
      </c>
    </row>
    <row r="349" spans="1:4" x14ac:dyDescent="0.25">
      <c r="A349">
        <v>2008</v>
      </c>
      <c r="B349" t="s">
        <v>114</v>
      </c>
      <c r="C349">
        <v>20</v>
      </c>
      <c r="D349">
        <v>1800.4800671927301</v>
      </c>
    </row>
    <row r="350" spans="1:4" x14ac:dyDescent="0.25">
      <c r="A350">
        <v>2008</v>
      </c>
      <c r="B350" t="s">
        <v>114</v>
      </c>
      <c r="C350">
        <v>25</v>
      </c>
      <c r="D350">
        <v>1962.1267812998101</v>
      </c>
    </row>
    <row r="351" spans="1:4" x14ac:dyDescent="0.25">
      <c r="A351">
        <v>2008</v>
      </c>
      <c r="B351" t="s">
        <v>114</v>
      </c>
      <c r="C351">
        <v>30</v>
      </c>
      <c r="D351">
        <v>2075.9911333752402</v>
      </c>
    </row>
    <row r="352" spans="1:4" x14ac:dyDescent="0.25">
      <c r="A352">
        <v>2008</v>
      </c>
      <c r="B352" t="s">
        <v>114</v>
      </c>
      <c r="C352">
        <v>35</v>
      </c>
      <c r="D352">
        <v>1709.83395211736</v>
      </c>
    </row>
    <row r="353" spans="1:4" x14ac:dyDescent="0.25">
      <c r="A353">
        <v>2008</v>
      </c>
      <c r="B353" t="s">
        <v>114</v>
      </c>
      <c r="C353">
        <v>40</v>
      </c>
      <c r="D353">
        <v>1253.5245188304</v>
      </c>
    </row>
    <row r="354" spans="1:4" x14ac:dyDescent="0.25">
      <c r="A354">
        <v>2008</v>
      </c>
      <c r="B354" t="s">
        <v>114</v>
      </c>
      <c r="C354">
        <v>45</v>
      </c>
      <c r="D354">
        <v>952.597302631047</v>
      </c>
    </row>
    <row r="355" spans="1:4" x14ac:dyDescent="0.25">
      <c r="A355">
        <v>2008</v>
      </c>
      <c r="B355" t="s">
        <v>114</v>
      </c>
      <c r="C355">
        <v>50</v>
      </c>
      <c r="D355">
        <v>621.17070641149405</v>
      </c>
    </row>
    <row r="356" spans="1:4" x14ac:dyDescent="0.25">
      <c r="A356">
        <v>2008</v>
      </c>
      <c r="B356" t="s">
        <v>114</v>
      </c>
      <c r="C356">
        <v>55</v>
      </c>
      <c r="D356">
        <v>384.292188254574</v>
      </c>
    </row>
    <row r="357" spans="1:4" x14ac:dyDescent="0.25">
      <c r="A357">
        <v>2008</v>
      </c>
      <c r="B357" t="s">
        <v>114</v>
      </c>
      <c r="C357">
        <v>60</v>
      </c>
      <c r="D357">
        <v>325.32672021551201</v>
      </c>
    </row>
    <row r="358" spans="1:4" x14ac:dyDescent="0.25">
      <c r="A358">
        <v>2008</v>
      </c>
      <c r="B358" t="s">
        <v>114</v>
      </c>
      <c r="C358">
        <v>65</v>
      </c>
      <c r="D358">
        <v>221.62882814681799</v>
      </c>
    </row>
    <row r="359" spans="1:4" x14ac:dyDescent="0.25">
      <c r="A359">
        <v>2008</v>
      </c>
      <c r="B359" t="s">
        <v>114</v>
      </c>
      <c r="C359">
        <v>70</v>
      </c>
      <c r="D359">
        <v>147.41367009765401</v>
      </c>
    </row>
    <row r="360" spans="1:4" x14ac:dyDescent="0.25">
      <c r="A360">
        <v>2008</v>
      </c>
      <c r="B360" t="s">
        <v>114</v>
      </c>
      <c r="C360">
        <v>75</v>
      </c>
      <c r="D360">
        <v>83.364972055224996</v>
      </c>
    </row>
    <row r="361" spans="1:4" x14ac:dyDescent="0.25">
      <c r="A361">
        <v>2008</v>
      </c>
      <c r="B361" t="s">
        <v>114</v>
      </c>
      <c r="C361">
        <v>80</v>
      </c>
      <c r="D361">
        <v>45.749070030306399</v>
      </c>
    </row>
    <row r="362" spans="1:4" x14ac:dyDescent="0.25">
      <c r="A362">
        <v>2008</v>
      </c>
      <c r="B362" t="s">
        <v>114</v>
      </c>
      <c r="C362">
        <v>85</v>
      </c>
      <c r="D362">
        <v>49.8156540330003</v>
      </c>
    </row>
    <row r="363" spans="1:4" x14ac:dyDescent="0.25">
      <c r="A363">
        <v>2009</v>
      </c>
      <c r="B363" t="s">
        <v>114</v>
      </c>
      <c r="C363">
        <v>0</v>
      </c>
      <c r="D363">
        <v>58.006019853371697</v>
      </c>
    </row>
    <row r="364" spans="1:4" x14ac:dyDescent="0.25">
      <c r="A364">
        <v>2009</v>
      </c>
      <c r="B364" t="s">
        <v>114</v>
      </c>
      <c r="C364">
        <v>1</v>
      </c>
      <c r="D364">
        <v>69.783697164869807</v>
      </c>
    </row>
    <row r="365" spans="1:4" x14ac:dyDescent="0.25">
      <c r="A365">
        <v>2009</v>
      </c>
      <c r="B365" t="s">
        <v>114</v>
      </c>
      <c r="C365">
        <v>5</v>
      </c>
      <c r="D365">
        <v>53.364003714312197</v>
      </c>
    </row>
    <row r="366" spans="1:4" x14ac:dyDescent="0.25">
      <c r="A366">
        <v>2009</v>
      </c>
      <c r="B366" t="s">
        <v>114</v>
      </c>
      <c r="C366">
        <v>10</v>
      </c>
      <c r="D366">
        <v>128.27885508248099</v>
      </c>
    </row>
    <row r="367" spans="1:4" x14ac:dyDescent="0.25">
      <c r="A367">
        <v>2009</v>
      </c>
      <c r="B367" t="s">
        <v>114</v>
      </c>
      <c r="C367">
        <v>15</v>
      </c>
      <c r="D367">
        <v>1419.27725263257</v>
      </c>
    </row>
    <row r="368" spans="1:4" x14ac:dyDescent="0.25">
      <c r="A368">
        <v>2009</v>
      </c>
      <c r="B368" t="s">
        <v>114</v>
      </c>
      <c r="C368">
        <v>20</v>
      </c>
      <c r="D368">
        <v>2577.38133663901</v>
      </c>
    </row>
    <row r="369" spans="1:4" x14ac:dyDescent="0.25">
      <c r="A369">
        <v>2009</v>
      </c>
      <c r="B369" t="s">
        <v>114</v>
      </c>
      <c r="C369">
        <v>25</v>
      </c>
      <c r="D369">
        <v>2897.8027759843899</v>
      </c>
    </row>
    <row r="370" spans="1:4" x14ac:dyDescent="0.25">
      <c r="A370">
        <v>2009</v>
      </c>
      <c r="B370" t="s">
        <v>114</v>
      </c>
      <c r="C370">
        <v>30</v>
      </c>
      <c r="D370">
        <v>2707.1969576606798</v>
      </c>
    </row>
    <row r="371" spans="1:4" x14ac:dyDescent="0.25">
      <c r="A371">
        <v>2009</v>
      </c>
      <c r="B371" t="s">
        <v>114</v>
      </c>
      <c r="C371">
        <v>35</v>
      </c>
      <c r="D371">
        <v>2598.1919065082602</v>
      </c>
    </row>
    <row r="372" spans="1:4" x14ac:dyDescent="0.25">
      <c r="A372">
        <v>2009</v>
      </c>
      <c r="B372" t="s">
        <v>114</v>
      </c>
      <c r="C372">
        <v>40</v>
      </c>
      <c r="D372">
        <v>1753.6719065269299</v>
      </c>
    </row>
    <row r="373" spans="1:4" x14ac:dyDescent="0.25">
      <c r="A373">
        <v>2009</v>
      </c>
      <c r="B373" t="s">
        <v>114</v>
      </c>
      <c r="C373">
        <v>45</v>
      </c>
      <c r="D373">
        <v>1187.3490826434499</v>
      </c>
    </row>
    <row r="374" spans="1:4" x14ac:dyDescent="0.25">
      <c r="A374">
        <v>2009</v>
      </c>
      <c r="B374" t="s">
        <v>114</v>
      </c>
      <c r="C374">
        <v>50</v>
      </c>
      <c r="D374">
        <v>871.26998372021296</v>
      </c>
    </row>
    <row r="375" spans="1:4" x14ac:dyDescent="0.25">
      <c r="A375">
        <v>2009</v>
      </c>
      <c r="B375" t="s">
        <v>114</v>
      </c>
      <c r="C375">
        <v>55</v>
      </c>
      <c r="D375">
        <v>576.74173245083603</v>
      </c>
    </row>
    <row r="376" spans="1:4" x14ac:dyDescent="0.25">
      <c r="A376">
        <v>2009</v>
      </c>
      <c r="B376" t="s">
        <v>114</v>
      </c>
      <c r="C376">
        <v>60</v>
      </c>
      <c r="D376">
        <v>387.91525776942302</v>
      </c>
    </row>
    <row r="377" spans="1:4" x14ac:dyDescent="0.25">
      <c r="A377">
        <v>2009</v>
      </c>
      <c r="B377" t="s">
        <v>114</v>
      </c>
      <c r="C377">
        <v>65</v>
      </c>
      <c r="D377">
        <v>266.67099495113501</v>
      </c>
    </row>
    <row r="378" spans="1:4" x14ac:dyDescent="0.25">
      <c r="A378">
        <v>2009</v>
      </c>
      <c r="B378" t="s">
        <v>114</v>
      </c>
      <c r="C378">
        <v>70</v>
      </c>
      <c r="D378">
        <v>180.61662795613401</v>
      </c>
    </row>
    <row r="379" spans="1:4" x14ac:dyDescent="0.25">
      <c r="A379">
        <v>2009</v>
      </c>
      <c r="B379" t="s">
        <v>114</v>
      </c>
      <c r="C379">
        <v>75</v>
      </c>
      <c r="D379">
        <v>105.701776587965</v>
      </c>
    </row>
    <row r="380" spans="1:4" x14ac:dyDescent="0.25">
      <c r="A380">
        <v>2009</v>
      </c>
      <c r="B380" t="s">
        <v>114</v>
      </c>
      <c r="C380">
        <v>80</v>
      </c>
      <c r="D380">
        <v>55.416465395631903</v>
      </c>
    </row>
    <row r="381" spans="1:4" x14ac:dyDescent="0.25">
      <c r="A381">
        <v>2009</v>
      </c>
      <c r="B381" t="s">
        <v>114</v>
      </c>
      <c r="C381">
        <v>85</v>
      </c>
      <c r="D381">
        <v>49.591521328224601</v>
      </c>
    </row>
    <row r="382" spans="1:4" x14ac:dyDescent="0.25">
      <c r="A382">
        <v>2010</v>
      </c>
      <c r="B382" t="s">
        <v>114</v>
      </c>
      <c r="C382">
        <v>0</v>
      </c>
      <c r="D382">
        <v>33.6469790588474</v>
      </c>
    </row>
    <row r="383" spans="1:4" x14ac:dyDescent="0.25">
      <c r="A383">
        <v>2010</v>
      </c>
      <c r="B383" t="s">
        <v>114</v>
      </c>
      <c r="C383">
        <v>1</v>
      </c>
      <c r="D383">
        <v>70.291692043060607</v>
      </c>
    </row>
    <row r="384" spans="1:4" x14ac:dyDescent="0.25">
      <c r="A384">
        <v>2010</v>
      </c>
      <c r="B384" t="s">
        <v>114</v>
      </c>
      <c r="C384">
        <v>5</v>
      </c>
      <c r="D384">
        <v>35.686551344938501</v>
      </c>
    </row>
    <row r="385" spans="1:4" x14ac:dyDescent="0.25">
      <c r="A385">
        <v>2010</v>
      </c>
      <c r="B385" t="s">
        <v>114</v>
      </c>
      <c r="C385">
        <v>10</v>
      </c>
      <c r="D385">
        <v>141.28630100655201</v>
      </c>
    </row>
    <row r="386" spans="1:4" x14ac:dyDescent="0.25">
      <c r="A386">
        <v>2010</v>
      </c>
      <c r="B386" t="s">
        <v>114</v>
      </c>
      <c r="C386">
        <v>15</v>
      </c>
      <c r="D386">
        <v>2036.2549938196701</v>
      </c>
    </row>
    <row r="387" spans="1:4" x14ac:dyDescent="0.25">
      <c r="A387">
        <v>2010</v>
      </c>
      <c r="B387" t="s">
        <v>114</v>
      </c>
      <c r="C387">
        <v>20</v>
      </c>
      <c r="D387">
        <v>3608.4619627526999</v>
      </c>
    </row>
    <row r="388" spans="1:4" x14ac:dyDescent="0.25">
      <c r="A388">
        <v>2010</v>
      </c>
      <c r="B388" t="s">
        <v>114</v>
      </c>
      <c r="C388">
        <v>25</v>
      </c>
      <c r="D388">
        <v>3991.0422480679199</v>
      </c>
    </row>
    <row r="389" spans="1:4" x14ac:dyDescent="0.25">
      <c r="A389">
        <v>2010</v>
      </c>
      <c r="B389" t="s">
        <v>114</v>
      </c>
      <c r="C389">
        <v>30</v>
      </c>
      <c r="D389">
        <v>3920.5996630033601</v>
      </c>
    </row>
    <row r="390" spans="1:4" x14ac:dyDescent="0.25">
      <c r="A390">
        <v>2010</v>
      </c>
      <c r="B390" t="s">
        <v>114</v>
      </c>
      <c r="C390">
        <v>35</v>
      </c>
      <c r="D390">
        <v>3298.26609224103</v>
      </c>
    </row>
    <row r="391" spans="1:4" x14ac:dyDescent="0.25">
      <c r="A391">
        <v>2010</v>
      </c>
      <c r="B391" t="s">
        <v>114</v>
      </c>
      <c r="C391">
        <v>40</v>
      </c>
      <c r="D391">
        <v>2233.74383784048</v>
      </c>
    </row>
    <row r="392" spans="1:4" x14ac:dyDescent="0.25">
      <c r="A392">
        <v>2010</v>
      </c>
      <c r="B392" t="s">
        <v>114</v>
      </c>
      <c r="C392">
        <v>45</v>
      </c>
      <c r="D392">
        <v>1523.5779525083101</v>
      </c>
    </row>
    <row r="393" spans="1:4" x14ac:dyDescent="0.25">
      <c r="A393">
        <v>2010</v>
      </c>
      <c r="B393" t="s">
        <v>114</v>
      </c>
      <c r="C393">
        <v>50</v>
      </c>
      <c r="D393">
        <v>1017.06409210193</v>
      </c>
    </row>
    <row r="394" spans="1:4" x14ac:dyDescent="0.25">
      <c r="A394">
        <v>2010</v>
      </c>
      <c r="B394" t="s">
        <v>114</v>
      </c>
      <c r="C394">
        <v>55</v>
      </c>
      <c r="D394">
        <v>645.02964463043895</v>
      </c>
    </row>
    <row r="395" spans="1:4" x14ac:dyDescent="0.25">
      <c r="A395">
        <v>2010</v>
      </c>
      <c r="B395" t="s">
        <v>114</v>
      </c>
      <c r="C395">
        <v>60</v>
      </c>
      <c r="D395">
        <v>405.210930601173</v>
      </c>
    </row>
    <row r="396" spans="1:4" x14ac:dyDescent="0.25">
      <c r="A396">
        <v>2010</v>
      </c>
      <c r="B396" t="s">
        <v>114</v>
      </c>
      <c r="C396">
        <v>65</v>
      </c>
      <c r="D396">
        <v>282.20046952581703</v>
      </c>
    </row>
    <row r="397" spans="1:4" x14ac:dyDescent="0.25">
      <c r="A397">
        <v>2010</v>
      </c>
      <c r="B397" t="s">
        <v>114</v>
      </c>
      <c r="C397">
        <v>70</v>
      </c>
      <c r="D397">
        <v>200.53806259343801</v>
      </c>
    </row>
    <row r="398" spans="1:4" x14ac:dyDescent="0.25">
      <c r="A398">
        <v>2010</v>
      </c>
      <c r="B398" t="s">
        <v>114</v>
      </c>
      <c r="C398">
        <v>75</v>
      </c>
      <c r="D398">
        <v>123.01046107535601</v>
      </c>
    </row>
    <row r="399" spans="1:4" x14ac:dyDescent="0.25">
      <c r="A399">
        <v>2010</v>
      </c>
      <c r="B399" t="s">
        <v>114</v>
      </c>
      <c r="C399">
        <v>80</v>
      </c>
      <c r="D399">
        <v>60.988379860890902</v>
      </c>
    </row>
    <row r="400" spans="1:4" x14ac:dyDescent="0.25">
      <c r="A400">
        <v>2010</v>
      </c>
      <c r="B400" t="s">
        <v>114</v>
      </c>
      <c r="C400">
        <v>85</v>
      </c>
      <c r="D400">
        <v>75.460198810932795</v>
      </c>
    </row>
    <row r="401" spans="1:4" x14ac:dyDescent="0.25">
      <c r="A401">
        <v>2011</v>
      </c>
      <c r="B401" t="s">
        <v>114</v>
      </c>
      <c r="C401">
        <v>0</v>
      </c>
      <c r="D401">
        <v>35.523525039382001</v>
      </c>
    </row>
    <row r="402" spans="1:4" x14ac:dyDescent="0.25">
      <c r="A402">
        <v>2011</v>
      </c>
      <c r="B402" t="s">
        <v>114</v>
      </c>
      <c r="C402">
        <v>1</v>
      </c>
      <c r="D402">
        <v>68.4357682310537</v>
      </c>
    </row>
    <row r="403" spans="1:4" x14ac:dyDescent="0.25">
      <c r="A403">
        <v>2011</v>
      </c>
      <c r="B403" t="s">
        <v>114</v>
      </c>
      <c r="C403">
        <v>5</v>
      </c>
      <c r="D403">
        <v>63.449733688505503</v>
      </c>
    </row>
    <row r="404" spans="1:4" x14ac:dyDescent="0.25">
      <c r="A404">
        <v>2011</v>
      </c>
      <c r="B404" t="s">
        <v>114</v>
      </c>
      <c r="C404">
        <v>10</v>
      </c>
      <c r="D404">
        <v>183.89668577515999</v>
      </c>
    </row>
    <row r="405" spans="1:4" x14ac:dyDescent="0.25">
      <c r="A405">
        <v>2011</v>
      </c>
      <c r="B405" t="s">
        <v>114</v>
      </c>
      <c r="C405">
        <v>15</v>
      </c>
      <c r="D405">
        <v>2318.6038276681002</v>
      </c>
    </row>
    <row r="406" spans="1:4" x14ac:dyDescent="0.25">
      <c r="A406">
        <v>2011</v>
      </c>
      <c r="B406" t="s">
        <v>114</v>
      </c>
      <c r="C406">
        <v>20</v>
      </c>
      <c r="D406">
        <v>3876.78959118804</v>
      </c>
    </row>
    <row r="407" spans="1:4" x14ac:dyDescent="0.25">
      <c r="A407">
        <v>2011</v>
      </c>
      <c r="B407" t="s">
        <v>114</v>
      </c>
      <c r="C407">
        <v>25</v>
      </c>
      <c r="D407">
        <v>4135.58286357421</v>
      </c>
    </row>
    <row r="408" spans="1:4" x14ac:dyDescent="0.25">
      <c r="A408">
        <v>2011</v>
      </c>
      <c r="B408" t="s">
        <v>114</v>
      </c>
      <c r="C408">
        <v>30</v>
      </c>
      <c r="D408">
        <v>3809.7135430445901</v>
      </c>
    </row>
    <row r="409" spans="1:4" x14ac:dyDescent="0.25">
      <c r="A409">
        <v>2011</v>
      </c>
      <c r="B409" t="s">
        <v>114</v>
      </c>
      <c r="C409">
        <v>35</v>
      </c>
      <c r="D409">
        <v>3329.3129876132698</v>
      </c>
    </row>
    <row r="410" spans="1:4" x14ac:dyDescent="0.25">
      <c r="A410">
        <v>2011</v>
      </c>
      <c r="B410" t="s">
        <v>114</v>
      </c>
      <c r="C410">
        <v>40</v>
      </c>
      <c r="D410">
        <v>2312.9369152280701</v>
      </c>
    </row>
    <row r="411" spans="1:4" x14ac:dyDescent="0.25">
      <c r="A411">
        <v>2011</v>
      </c>
      <c r="B411" t="s">
        <v>114</v>
      </c>
      <c r="C411">
        <v>45</v>
      </c>
      <c r="D411">
        <v>1552.6797154504</v>
      </c>
    </row>
    <row r="412" spans="1:4" x14ac:dyDescent="0.25">
      <c r="A412">
        <v>2011</v>
      </c>
      <c r="B412" t="s">
        <v>114</v>
      </c>
      <c r="C412">
        <v>50</v>
      </c>
      <c r="D412">
        <v>1119.3984931141699</v>
      </c>
    </row>
    <row r="413" spans="1:4" x14ac:dyDescent="0.25">
      <c r="A413">
        <v>2011</v>
      </c>
      <c r="B413" t="s">
        <v>114</v>
      </c>
      <c r="C413">
        <v>55</v>
      </c>
      <c r="D413">
        <v>713.00293958439295</v>
      </c>
    </row>
    <row r="414" spans="1:4" x14ac:dyDescent="0.25">
      <c r="A414">
        <v>2011</v>
      </c>
      <c r="B414" t="s">
        <v>114</v>
      </c>
      <c r="C414">
        <v>60</v>
      </c>
      <c r="D414">
        <v>480.71238913155901</v>
      </c>
    </row>
    <row r="415" spans="1:4" x14ac:dyDescent="0.25">
      <c r="A415">
        <v>2011</v>
      </c>
      <c r="B415" t="s">
        <v>114</v>
      </c>
      <c r="C415">
        <v>65</v>
      </c>
      <c r="D415">
        <v>312.94699158229002</v>
      </c>
    </row>
    <row r="416" spans="1:4" x14ac:dyDescent="0.25">
      <c r="A416">
        <v>2011</v>
      </c>
      <c r="B416" t="s">
        <v>114</v>
      </c>
      <c r="C416">
        <v>70</v>
      </c>
      <c r="D416">
        <v>211.68294463947299</v>
      </c>
    </row>
    <row r="417" spans="1:4" x14ac:dyDescent="0.25">
      <c r="A417">
        <v>2011</v>
      </c>
      <c r="B417" t="s">
        <v>114</v>
      </c>
      <c r="C417">
        <v>75</v>
      </c>
      <c r="D417">
        <v>133.11908933417001</v>
      </c>
    </row>
    <row r="418" spans="1:4" x14ac:dyDescent="0.25">
      <c r="A418">
        <v>2011</v>
      </c>
      <c r="B418" t="s">
        <v>114</v>
      </c>
      <c r="C418">
        <v>80</v>
      </c>
      <c r="D418">
        <v>75.279345054159094</v>
      </c>
    </row>
    <row r="419" spans="1:4" x14ac:dyDescent="0.25">
      <c r="A419">
        <v>2011</v>
      </c>
      <c r="B419" t="s">
        <v>114</v>
      </c>
      <c r="C419">
        <v>85</v>
      </c>
      <c r="D419">
        <v>76.308006912042003</v>
      </c>
    </row>
    <row r="420" spans="1:4" x14ac:dyDescent="0.25">
      <c r="A420">
        <v>2012</v>
      </c>
      <c r="B420" t="s">
        <v>114</v>
      </c>
      <c r="C420">
        <v>0</v>
      </c>
      <c r="D420">
        <v>42.674022817743698</v>
      </c>
    </row>
    <row r="421" spans="1:4" x14ac:dyDescent="0.25">
      <c r="A421">
        <v>2012</v>
      </c>
      <c r="B421" t="s">
        <v>114</v>
      </c>
      <c r="C421">
        <v>1</v>
      </c>
      <c r="D421">
        <v>71.478988219720705</v>
      </c>
    </row>
    <row r="422" spans="1:4" x14ac:dyDescent="0.25">
      <c r="A422">
        <v>2012</v>
      </c>
      <c r="B422" t="s">
        <v>114</v>
      </c>
      <c r="C422">
        <v>5</v>
      </c>
      <c r="D422">
        <v>48.008275669961598</v>
      </c>
    </row>
    <row r="423" spans="1:4" x14ac:dyDescent="0.25">
      <c r="A423">
        <v>2012</v>
      </c>
      <c r="B423" t="s">
        <v>114</v>
      </c>
      <c r="C423">
        <v>10</v>
      </c>
      <c r="D423">
        <v>187.765700398072</v>
      </c>
    </row>
    <row r="424" spans="1:4" x14ac:dyDescent="0.25">
      <c r="A424">
        <v>2012</v>
      </c>
      <c r="B424" t="s">
        <v>114</v>
      </c>
      <c r="C424">
        <v>15</v>
      </c>
      <c r="D424">
        <v>2170.88124007335</v>
      </c>
    </row>
    <row r="425" spans="1:4" x14ac:dyDescent="0.25">
      <c r="A425">
        <v>2012</v>
      </c>
      <c r="B425" t="s">
        <v>114</v>
      </c>
      <c r="C425">
        <v>20</v>
      </c>
      <c r="D425">
        <v>3769.0836387386798</v>
      </c>
    </row>
    <row r="426" spans="1:4" x14ac:dyDescent="0.25">
      <c r="A426">
        <v>2012</v>
      </c>
      <c r="B426" t="s">
        <v>114</v>
      </c>
      <c r="C426">
        <v>25</v>
      </c>
      <c r="D426">
        <v>3688.7878728118399</v>
      </c>
    </row>
    <row r="427" spans="1:4" x14ac:dyDescent="0.25">
      <c r="A427">
        <v>2012</v>
      </c>
      <c r="B427" t="s">
        <v>114</v>
      </c>
      <c r="C427">
        <v>30</v>
      </c>
      <c r="D427">
        <v>3468.0638898093598</v>
      </c>
    </row>
    <row r="428" spans="1:4" x14ac:dyDescent="0.25">
      <c r="A428">
        <v>2012</v>
      </c>
      <c r="B428" t="s">
        <v>114</v>
      </c>
      <c r="C428">
        <v>35</v>
      </c>
      <c r="D428">
        <v>2971.9521660734399</v>
      </c>
    </row>
    <row r="429" spans="1:4" x14ac:dyDescent="0.25">
      <c r="A429">
        <v>2012</v>
      </c>
      <c r="B429" t="s">
        <v>114</v>
      </c>
      <c r="C429">
        <v>40</v>
      </c>
      <c r="D429">
        <v>2207.2033069333902</v>
      </c>
    </row>
    <row r="430" spans="1:4" x14ac:dyDescent="0.25">
      <c r="A430">
        <v>2012</v>
      </c>
      <c r="B430" t="s">
        <v>114</v>
      </c>
      <c r="C430">
        <v>45</v>
      </c>
      <c r="D430">
        <v>1514.9278100299</v>
      </c>
    </row>
    <row r="431" spans="1:4" x14ac:dyDescent="0.25">
      <c r="A431">
        <v>2012</v>
      </c>
      <c r="B431" t="s">
        <v>114</v>
      </c>
      <c r="C431">
        <v>50</v>
      </c>
      <c r="D431">
        <v>1033.6579253811401</v>
      </c>
    </row>
    <row r="432" spans="1:4" x14ac:dyDescent="0.25">
      <c r="A432">
        <v>2012</v>
      </c>
      <c r="B432" t="s">
        <v>114</v>
      </c>
      <c r="C432">
        <v>55</v>
      </c>
      <c r="D432">
        <v>702.94667490837503</v>
      </c>
    </row>
    <row r="433" spans="1:4" x14ac:dyDescent="0.25">
      <c r="A433">
        <v>2012</v>
      </c>
      <c r="B433" t="s">
        <v>114</v>
      </c>
      <c r="C433">
        <v>60</v>
      </c>
      <c r="D433">
        <v>485.41700955183398</v>
      </c>
    </row>
    <row r="434" spans="1:4" x14ac:dyDescent="0.25">
      <c r="A434">
        <v>2012</v>
      </c>
      <c r="B434" t="s">
        <v>114</v>
      </c>
      <c r="C434">
        <v>65</v>
      </c>
      <c r="D434">
        <v>327.523125126183</v>
      </c>
    </row>
    <row r="435" spans="1:4" x14ac:dyDescent="0.25">
      <c r="A435">
        <v>2012</v>
      </c>
      <c r="B435" t="s">
        <v>114</v>
      </c>
      <c r="C435">
        <v>70</v>
      </c>
      <c r="D435">
        <v>225.10547036359799</v>
      </c>
    </row>
    <row r="436" spans="1:4" x14ac:dyDescent="0.25">
      <c r="A436">
        <v>2012</v>
      </c>
      <c r="B436" t="s">
        <v>114</v>
      </c>
      <c r="C436">
        <v>75</v>
      </c>
      <c r="D436">
        <v>163.22813727786999</v>
      </c>
    </row>
    <row r="437" spans="1:4" x14ac:dyDescent="0.25">
      <c r="A437">
        <v>2012</v>
      </c>
      <c r="B437" t="s">
        <v>114</v>
      </c>
      <c r="C437">
        <v>80</v>
      </c>
      <c r="D437">
        <v>78.946942212825803</v>
      </c>
    </row>
    <row r="438" spans="1:4" x14ac:dyDescent="0.25">
      <c r="A438">
        <v>2012</v>
      </c>
      <c r="B438" t="s">
        <v>114</v>
      </c>
      <c r="C438">
        <v>85</v>
      </c>
      <c r="D438">
        <v>69.345287078833493</v>
      </c>
    </row>
    <row r="439" spans="1:4" x14ac:dyDescent="0.25">
      <c r="A439">
        <v>2013</v>
      </c>
      <c r="B439" t="s">
        <v>114</v>
      </c>
      <c r="C439">
        <v>0</v>
      </c>
      <c r="D439">
        <v>39.524877409297197</v>
      </c>
    </row>
    <row r="440" spans="1:4" x14ac:dyDescent="0.25">
      <c r="A440">
        <v>2013</v>
      </c>
      <c r="B440" t="s">
        <v>114</v>
      </c>
      <c r="C440">
        <v>1</v>
      </c>
      <c r="D440">
        <v>78.097348134032899</v>
      </c>
    </row>
    <row r="441" spans="1:4" x14ac:dyDescent="0.25">
      <c r="A441">
        <v>2013</v>
      </c>
      <c r="B441" t="s">
        <v>114</v>
      </c>
      <c r="C441">
        <v>5</v>
      </c>
      <c r="D441">
        <v>53.823848038320001</v>
      </c>
    </row>
    <row r="442" spans="1:4" x14ac:dyDescent="0.25">
      <c r="A442">
        <v>2013</v>
      </c>
      <c r="B442" t="s">
        <v>114</v>
      </c>
      <c r="C442">
        <v>10</v>
      </c>
      <c r="D442">
        <v>132.976565741732</v>
      </c>
    </row>
    <row r="443" spans="1:4" x14ac:dyDescent="0.25">
      <c r="A443">
        <v>2013</v>
      </c>
      <c r="B443" t="s">
        <v>114</v>
      </c>
      <c r="C443">
        <v>15</v>
      </c>
      <c r="D443">
        <v>1627.37987598215</v>
      </c>
    </row>
    <row r="444" spans="1:4" x14ac:dyDescent="0.25">
      <c r="A444">
        <v>2013</v>
      </c>
      <c r="B444" t="s">
        <v>114</v>
      </c>
      <c r="C444">
        <v>20</v>
      </c>
      <c r="D444">
        <v>3005.69253359089</v>
      </c>
    </row>
    <row r="445" spans="1:4" x14ac:dyDescent="0.25">
      <c r="A445">
        <v>2013</v>
      </c>
      <c r="B445" t="s">
        <v>114</v>
      </c>
      <c r="C445">
        <v>25</v>
      </c>
      <c r="D445">
        <v>3113.1370499956802</v>
      </c>
    </row>
    <row r="446" spans="1:4" x14ac:dyDescent="0.25">
      <c r="A446">
        <v>2013</v>
      </c>
      <c r="B446" t="s">
        <v>114</v>
      </c>
      <c r="C446">
        <v>30</v>
      </c>
      <c r="D446">
        <v>2882.9438936462798</v>
      </c>
    </row>
    <row r="447" spans="1:4" x14ac:dyDescent="0.25">
      <c r="A447">
        <v>2013</v>
      </c>
      <c r="B447" t="s">
        <v>114</v>
      </c>
      <c r="C447">
        <v>35</v>
      </c>
      <c r="D447">
        <v>2570.6723241138802</v>
      </c>
    </row>
    <row r="448" spans="1:4" x14ac:dyDescent="0.25">
      <c r="A448">
        <v>2013</v>
      </c>
      <c r="B448" t="s">
        <v>114</v>
      </c>
      <c r="C448">
        <v>40</v>
      </c>
      <c r="D448">
        <v>2011.43548971883</v>
      </c>
    </row>
    <row r="449" spans="1:4" x14ac:dyDescent="0.25">
      <c r="A449">
        <v>2013</v>
      </c>
      <c r="B449" t="s">
        <v>114</v>
      </c>
      <c r="C449">
        <v>45</v>
      </c>
      <c r="D449">
        <v>1468.0190710059401</v>
      </c>
    </row>
    <row r="450" spans="1:4" x14ac:dyDescent="0.25">
      <c r="A450">
        <v>2013</v>
      </c>
      <c r="B450" t="s">
        <v>114</v>
      </c>
      <c r="C450">
        <v>50</v>
      </c>
      <c r="D450">
        <v>988.76313317855897</v>
      </c>
    </row>
    <row r="451" spans="1:4" x14ac:dyDescent="0.25">
      <c r="A451">
        <v>2013</v>
      </c>
      <c r="B451" t="s">
        <v>114</v>
      </c>
      <c r="C451">
        <v>55</v>
      </c>
      <c r="D451">
        <v>675.43652440244705</v>
      </c>
    </row>
    <row r="452" spans="1:4" x14ac:dyDescent="0.25">
      <c r="A452">
        <v>2013</v>
      </c>
      <c r="B452" t="s">
        <v>114</v>
      </c>
      <c r="C452">
        <v>60</v>
      </c>
      <c r="D452">
        <v>495.89177641187501</v>
      </c>
    </row>
    <row r="453" spans="1:4" x14ac:dyDescent="0.25">
      <c r="A453">
        <v>2013</v>
      </c>
      <c r="B453" t="s">
        <v>114</v>
      </c>
      <c r="C453">
        <v>65</v>
      </c>
      <c r="D453">
        <v>321.887718660541</v>
      </c>
    </row>
    <row r="454" spans="1:4" x14ac:dyDescent="0.25">
      <c r="A454">
        <v>2013</v>
      </c>
      <c r="B454" t="s">
        <v>114</v>
      </c>
      <c r="C454">
        <v>70</v>
      </c>
      <c r="D454">
        <v>235.34741397147801</v>
      </c>
    </row>
    <row r="455" spans="1:4" x14ac:dyDescent="0.25">
      <c r="A455">
        <v>2013</v>
      </c>
      <c r="B455" t="s">
        <v>114</v>
      </c>
      <c r="C455">
        <v>75</v>
      </c>
      <c r="D455">
        <v>145.641000574278</v>
      </c>
    </row>
    <row r="456" spans="1:4" x14ac:dyDescent="0.25">
      <c r="A456">
        <v>2013</v>
      </c>
      <c r="B456" t="s">
        <v>114</v>
      </c>
      <c r="C456">
        <v>80</v>
      </c>
      <c r="D456">
        <v>84.429565550305895</v>
      </c>
    </row>
    <row r="457" spans="1:4" x14ac:dyDescent="0.25">
      <c r="A457">
        <v>2013</v>
      </c>
      <c r="B457" t="s">
        <v>114</v>
      </c>
      <c r="C457">
        <v>85</v>
      </c>
      <c r="D457">
        <v>93.499147787155195</v>
      </c>
    </row>
    <row r="458" spans="1:4" x14ac:dyDescent="0.25">
      <c r="A458">
        <v>2014</v>
      </c>
      <c r="B458" t="s">
        <v>114</v>
      </c>
      <c r="C458">
        <v>0</v>
      </c>
      <c r="D458">
        <v>51.351238779361402</v>
      </c>
    </row>
    <row r="459" spans="1:4" x14ac:dyDescent="0.25">
      <c r="A459">
        <v>2014</v>
      </c>
      <c r="B459" t="s">
        <v>114</v>
      </c>
      <c r="C459">
        <v>1</v>
      </c>
      <c r="D459">
        <v>69.538135847051905</v>
      </c>
    </row>
    <row r="460" spans="1:4" x14ac:dyDescent="0.25">
      <c r="A460">
        <v>2014</v>
      </c>
      <c r="B460" t="s">
        <v>114</v>
      </c>
      <c r="C460">
        <v>5</v>
      </c>
      <c r="D460">
        <v>33.1643417116709</v>
      </c>
    </row>
    <row r="461" spans="1:4" x14ac:dyDescent="0.25">
      <c r="A461">
        <v>2014</v>
      </c>
      <c r="B461" t="s">
        <v>114</v>
      </c>
      <c r="C461">
        <v>10</v>
      </c>
      <c r="D461">
        <v>102.702477558723</v>
      </c>
    </row>
    <row r="462" spans="1:4" x14ac:dyDescent="0.25">
      <c r="A462">
        <v>2014</v>
      </c>
      <c r="B462" t="s">
        <v>114</v>
      </c>
      <c r="C462">
        <v>15</v>
      </c>
      <c r="D462">
        <v>1288.0602393823201</v>
      </c>
    </row>
    <row r="463" spans="1:4" x14ac:dyDescent="0.25">
      <c r="A463">
        <v>2014</v>
      </c>
      <c r="B463" t="s">
        <v>114</v>
      </c>
      <c r="C463">
        <v>20</v>
      </c>
      <c r="D463">
        <v>2568.6317564426399</v>
      </c>
    </row>
    <row r="464" spans="1:4" x14ac:dyDescent="0.25">
      <c r="A464">
        <v>2014</v>
      </c>
      <c r="B464" t="s">
        <v>114</v>
      </c>
      <c r="C464">
        <v>25</v>
      </c>
      <c r="D464">
        <v>2591.0979234086099</v>
      </c>
    </row>
    <row r="465" spans="1:4" x14ac:dyDescent="0.25">
      <c r="A465">
        <v>2014</v>
      </c>
      <c r="B465" t="s">
        <v>114</v>
      </c>
      <c r="C465">
        <v>30</v>
      </c>
      <c r="D465">
        <v>2547.1227945854998</v>
      </c>
    </row>
    <row r="466" spans="1:4" x14ac:dyDescent="0.25">
      <c r="A466">
        <v>2014</v>
      </c>
      <c r="B466" t="s">
        <v>114</v>
      </c>
      <c r="C466">
        <v>35</v>
      </c>
      <c r="D466">
        <v>2226.0879429844299</v>
      </c>
    </row>
    <row r="467" spans="1:4" x14ac:dyDescent="0.25">
      <c r="A467">
        <v>2014</v>
      </c>
      <c r="B467" t="s">
        <v>114</v>
      </c>
      <c r="C467">
        <v>40</v>
      </c>
      <c r="D467">
        <v>1891.4372950398099</v>
      </c>
    </row>
    <row r="468" spans="1:4" x14ac:dyDescent="0.25">
      <c r="A468">
        <v>2014</v>
      </c>
      <c r="B468" t="s">
        <v>114</v>
      </c>
      <c r="C468">
        <v>45</v>
      </c>
      <c r="D468">
        <v>1328.7133034159799</v>
      </c>
    </row>
    <row r="469" spans="1:4" x14ac:dyDescent="0.25">
      <c r="A469">
        <v>2014</v>
      </c>
      <c r="B469" t="s">
        <v>114</v>
      </c>
      <c r="C469">
        <v>50</v>
      </c>
      <c r="D469">
        <v>899.60268574376005</v>
      </c>
    </row>
    <row r="470" spans="1:4" x14ac:dyDescent="0.25">
      <c r="A470">
        <v>2014</v>
      </c>
      <c r="B470" t="s">
        <v>114</v>
      </c>
      <c r="C470">
        <v>55</v>
      </c>
      <c r="D470">
        <v>625.843222623467</v>
      </c>
    </row>
    <row r="471" spans="1:4" x14ac:dyDescent="0.25">
      <c r="A471">
        <v>2014</v>
      </c>
      <c r="B471" t="s">
        <v>114</v>
      </c>
      <c r="C471">
        <v>60</v>
      </c>
      <c r="D471">
        <v>394.76264811634098</v>
      </c>
    </row>
    <row r="472" spans="1:4" x14ac:dyDescent="0.25">
      <c r="A472">
        <v>2014</v>
      </c>
      <c r="B472" t="s">
        <v>114</v>
      </c>
      <c r="C472">
        <v>65</v>
      </c>
      <c r="D472">
        <v>326.29432974385901</v>
      </c>
    </row>
    <row r="473" spans="1:4" x14ac:dyDescent="0.25">
      <c r="A473">
        <v>2014</v>
      </c>
      <c r="B473" t="s">
        <v>114</v>
      </c>
      <c r="C473">
        <v>70</v>
      </c>
      <c r="D473">
        <v>193.63696289717501</v>
      </c>
    </row>
    <row r="474" spans="1:4" x14ac:dyDescent="0.25">
      <c r="A474">
        <v>2014</v>
      </c>
      <c r="B474" t="s">
        <v>114</v>
      </c>
      <c r="C474">
        <v>75</v>
      </c>
      <c r="D474">
        <v>119.819557151843</v>
      </c>
    </row>
    <row r="475" spans="1:4" x14ac:dyDescent="0.25">
      <c r="A475">
        <v>2014</v>
      </c>
      <c r="B475" t="s">
        <v>114</v>
      </c>
      <c r="C475">
        <v>80</v>
      </c>
      <c r="D475">
        <v>86.655215440172398</v>
      </c>
    </row>
    <row r="476" spans="1:4" x14ac:dyDescent="0.25">
      <c r="A476">
        <v>2014</v>
      </c>
      <c r="B476" t="s">
        <v>114</v>
      </c>
      <c r="C476">
        <v>85</v>
      </c>
      <c r="D476">
        <v>72.747588270761995</v>
      </c>
    </row>
    <row r="477" spans="1:4" x14ac:dyDescent="0.25">
      <c r="A477">
        <v>2015</v>
      </c>
      <c r="B477" t="s">
        <v>114</v>
      </c>
      <c r="C477">
        <v>0</v>
      </c>
      <c r="D477">
        <v>37.509109497062497</v>
      </c>
    </row>
    <row r="478" spans="1:4" x14ac:dyDescent="0.25">
      <c r="A478">
        <v>2015</v>
      </c>
      <c r="B478" t="s">
        <v>114</v>
      </c>
      <c r="C478">
        <v>1</v>
      </c>
      <c r="D478">
        <v>61.201676682679597</v>
      </c>
    </row>
    <row r="479" spans="1:4" x14ac:dyDescent="0.25">
      <c r="A479">
        <v>2015</v>
      </c>
      <c r="B479" t="s">
        <v>114</v>
      </c>
      <c r="C479">
        <v>5</v>
      </c>
      <c r="D479">
        <v>40.097650240376304</v>
      </c>
    </row>
    <row r="480" spans="1:4" x14ac:dyDescent="0.25">
      <c r="A480">
        <v>2015</v>
      </c>
      <c r="B480" t="s">
        <v>114</v>
      </c>
      <c r="C480">
        <v>10</v>
      </c>
      <c r="D480">
        <v>115.016944110553</v>
      </c>
    </row>
    <row r="481" spans="1:4" x14ac:dyDescent="0.25">
      <c r="A481">
        <v>2015</v>
      </c>
      <c r="B481" t="s">
        <v>114</v>
      </c>
      <c r="C481">
        <v>15</v>
      </c>
      <c r="D481">
        <v>1362.2649068506801</v>
      </c>
    </row>
    <row r="482" spans="1:4" x14ac:dyDescent="0.25">
      <c r="A482">
        <v>2015</v>
      </c>
      <c r="B482" t="s">
        <v>114</v>
      </c>
      <c r="C482">
        <v>20</v>
      </c>
      <c r="D482">
        <v>2650.55377740321</v>
      </c>
    </row>
    <row r="483" spans="1:4" x14ac:dyDescent="0.25">
      <c r="A483">
        <v>2015</v>
      </c>
      <c r="B483" t="s">
        <v>114</v>
      </c>
      <c r="C483">
        <v>25</v>
      </c>
      <c r="D483">
        <v>2689.7081700715598</v>
      </c>
    </row>
    <row r="484" spans="1:4" x14ac:dyDescent="0.25">
      <c r="A484">
        <v>2015</v>
      </c>
      <c r="B484" t="s">
        <v>114</v>
      </c>
      <c r="C484">
        <v>30</v>
      </c>
      <c r="D484">
        <v>2537.6590626940601</v>
      </c>
    </row>
    <row r="485" spans="1:4" x14ac:dyDescent="0.25">
      <c r="A485">
        <v>2015</v>
      </c>
      <c r="B485" t="s">
        <v>114</v>
      </c>
      <c r="C485">
        <v>35</v>
      </c>
      <c r="D485">
        <v>2310.7788691587298</v>
      </c>
    </row>
    <row r="486" spans="1:4" x14ac:dyDescent="0.25">
      <c r="A486">
        <v>2015</v>
      </c>
      <c r="B486" t="s">
        <v>114</v>
      </c>
      <c r="C486">
        <v>40</v>
      </c>
      <c r="D486">
        <v>1995.1956012303399</v>
      </c>
    </row>
    <row r="487" spans="1:4" x14ac:dyDescent="0.25">
      <c r="A487">
        <v>2015</v>
      </c>
      <c r="B487" t="s">
        <v>114</v>
      </c>
      <c r="C487">
        <v>45</v>
      </c>
      <c r="D487">
        <v>1409.6514086437501</v>
      </c>
    </row>
    <row r="488" spans="1:4" x14ac:dyDescent="0.25">
      <c r="A488">
        <v>2015</v>
      </c>
      <c r="B488" t="s">
        <v>114</v>
      </c>
      <c r="C488">
        <v>50</v>
      </c>
      <c r="D488">
        <v>997.06326343372803</v>
      </c>
    </row>
    <row r="489" spans="1:4" x14ac:dyDescent="0.25">
      <c r="A489">
        <v>2015</v>
      </c>
      <c r="B489" t="s">
        <v>114</v>
      </c>
      <c r="C489">
        <v>55</v>
      </c>
      <c r="D489">
        <v>707.93385881825805</v>
      </c>
    </row>
    <row r="490" spans="1:4" x14ac:dyDescent="0.25">
      <c r="A490">
        <v>2015</v>
      </c>
      <c r="B490" t="s">
        <v>114</v>
      </c>
      <c r="C490">
        <v>60</v>
      </c>
      <c r="D490">
        <v>449.51576322106098</v>
      </c>
    </row>
    <row r="491" spans="1:4" x14ac:dyDescent="0.25">
      <c r="A491">
        <v>2015</v>
      </c>
      <c r="B491" t="s">
        <v>114</v>
      </c>
      <c r="C491">
        <v>65</v>
      </c>
      <c r="D491">
        <v>312.33959134608898</v>
      </c>
    </row>
    <row r="492" spans="1:4" x14ac:dyDescent="0.25">
      <c r="A492">
        <v>2015</v>
      </c>
      <c r="B492" t="s">
        <v>114</v>
      </c>
      <c r="C492">
        <v>70</v>
      </c>
      <c r="D492">
        <v>186.770634014384</v>
      </c>
    </row>
    <row r="493" spans="1:4" x14ac:dyDescent="0.25">
      <c r="A493">
        <v>2015</v>
      </c>
      <c r="B493" t="s">
        <v>114</v>
      </c>
      <c r="C493">
        <v>75</v>
      </c>
      <c r="D493">
        <v>142.45217848554699</v>
      </c>
    </row>
    <row r="494" spans="1:4" x14ac:dyDescent="0.25">
      <c r="A494">
        <v>2015</v>
      </c>
      <c r="B494" t="s">
        <v>114</v>
      </c>
      <c r="C494">
        <v>80</v>
      </c>
      <c r="D494">
        <v>78.084897836522302</v>
      </c>
    </row>
    <row r="495" spans="1:4" x14ac:dyDescent="0.25">
      <c r="A495">
        <v>2015</v>
      </c>
      <c r="B495" t="s">
        <v>114</v>
      </c>
      <c r="C495">
        <v>85</v>
      </c>
      <c r="D495">
        <v>50.649663461528</v>
      </c>
    </row>
    <row r="496" spans="1:4" x14ac:dyDescent="0.25">
      <c r="A496">
        <v>2016</v>
      </c>
      <c r="B496" t="s">
        <v>114</v>
      </c>
      <c r="C496">
        <v>0</v>
      </c>
      <c r="D496">
        <v>31.8154036460787</v>
      </c>
    </row>
    <row r="497" spans="1:4" x14ac:dyDescent="0.25">
      <c r="A497">
        <v>2016</v>
      </c>
      <c r="B497" t="s">
        <v>114</v>
      </c>
      <c r="C497">
        <v>1</v>
      </c>
      <c r="D497">
        <v>39.238997830163697</v>
      </c>
    </row>
    <row r="498" spans="1:4" x14ac:dyDescent="0.25">
      <c r="A498">
        <v>2016</v>
      </c>
      <c r="B498" t="s">
        <v>114</v>
      </c>
      <c r="C498">
        <v>5</v>
      </c>
      <c r="D498">
        <v>42.420538194771602</v>
      </c>
    </row>
    <row r="499" spans="1:4" x14ac:dyDescent="0.25">
      <c r="A499">
        <v>2016</v>
      </c>
      <c r="B499" t="s">
        <v>114</v>
      </c>
      <c r="C499">
        <v>10</v>
      </c>
      <c r="D499">
        <v>126.20110112944499</v>
      </c>
    </row>
    <row r="500" spans="1:4" x14ac:dyDescent="0.25">
      <c r="A500">
        <v>2016</v>
      </c>
      <c r="B500" t="s">
        <v>114</v>
      </c>
      <c r="C500">
        <v>15</v>
      </c>
      <c r="D500">
        <v>1609.8594244915801</v>
      </c>
    </row>
    <row r="501" spans="1:4" x14ac:dyDescent="0.25">
      <c r="A501">
        <v>2016</v>
      </c>
      <c r="B501" t="s">
        <v>114</v>
      </c>
      <c r="C501">
        <v>20</v>
      </c>
      <c r="D501">
        <v>3251.4104751222599</v>
      </c>
    </row>
    <row r="502" spans="1:4" x14ac:dyDescent="0.25">
      <c r="A502">
        <v>2016</v>
      </c>
      <c r="B502" t="s">
        <v>114</v>
      </c>
      <c r="C502">
        <v>25</v>
      </c>
      <c r="D502">
        <v>3488.8679771420202</v>
      </c>
    </row>
    <row r="503" spans="1:4" x14ac:dyDescent="0.25">
      <c r="A503">
        <v>2016</v>
      </c>
      <c r="B503" t="s">
        <v>114</v>
      </c>
      <c r="C503">
        <v>30</v>
      </c>
      <c r="D503">
        <v>3150.7854744166598</v>
      </c>
    </row>
    <row r="504" spans="1:4" x14ac:dyDescent="0.25">
      <c r="A504">
        <v>2016</v>
      </c>
      <c r="B504" t="s">
        <v>114</v>
      </c>
      <c r="C504">
        <v>35</v>
      </c>
      <c r="D504">
        <v>2855.86411478727</v>
      </c>
    </row>
    <row r="505" spans="1:4" x14ac:dyDescent="0.25">
      <c r="A505">
        <v>2016</v>
      </c>
      <c r="B505" t="s">
        <v>114</v>
      </c>
      <c r="C505">
        <v>40</v>
      </c>
      <c r="D505">
        <v>2417.77462999319</v>
      </c>
    </row>
    <row r="506" spans="1:4" x14ac:dyDescent="0.25">
      <c r="A506">
        <v>2016</v>
      </c>
      <c r="B506" t="s">
        <v>114</v>
      </c>
      <c r="C506">
        <v>45</v>
      </c>
      <c r="D506">
        <v>1607.6268964625499</v>
      </c>
    </row>
    <row r="507" spans="1:4" x14ac:dyDescent="0.25">
      <c r="A507">
        <v>2016</v>
      </c>
      <c r="B507" t="s">
        <v>114</v>
      </c>
      <c r="C507">
        <v>50</v>
      </c>
      <c r="D507">
        <v>1200.50123091204</v>
      </c>
    </row>
    <row r="508" spans="1:4" x14ac:dyDescent="0.25">
      <c r="A508">
        <v>2016</v>
      </c>
      <c r="B508" t="s">
        <v>114</v>
      </c>
      <c r="C508">
        <v>55</v>
      </c>
      <c r="D508">
        <v>813.28919733589998</v>
      </c>
    </row>
    <row r="509" spans="1:4" x14ac:dyDescent="0.25">
      <c r="A509">
        <v>2016</v>
      </c>
      <c r="B509" t="s">
        <v>114</v>
      </c>
      <c r="C509">
        <v>60</v>
      </c>
      <c r="D509">
        <v>556.76956380637705</v>
      </c>
    </row>
    <row r="510" spans="1:4" x14ac:dyDescent="0.25">
      <c r="A510">
        <v>2016</v>
      </c>
      <c r="B510" t="s">
        <v>114</v>
      </c>
      <c r="C510">
        <v>65</v>
      </c>
      <c r="D510">
        <v>344.666872832519</v>
      </c>
    </row>
    <row r="511" spans="1:4" x14ac:dyDescent="0.25">
      <c r="A511">
        <v>2016</v>
      </c>
      <c r="B511" t="s">
        <v>114</v>
      </c>
      <c r="C511">
        <v>70</v>
      </c>
      <c r="D511">
        <v>196.194989150818</v>
      </c>
    </row>
    <row r="512" spans="1:4" x14ac:dyDescent="0.25">
      <c r="A512">
        <v>2016</v>
      </c>
      <c r="B512" t="s">
        <v>114</v>
      </c>
      <c r="C512">
        <v>75</v>
      </c>
      <c r="D512">
        <v>120.898533855099</v>
      </c>
    </row>
    <row r="513" spans="1:4" x14ac:dyDescent="0.25">
      <c r="A513">
        <v>2016</v>
      </c>
      <c r="B513" t="s">
        <v>114</v>
      </c>
      <c r="C513">
        <v>80</v>
      </c>
      <c r="D513">
        <v>73.175428385980894</v>
      </c>
    </row>
    <row r="514" spans="1:4" x14ac:dyDescent="0.25">
      <c r="A514">
        <v>2016</v>
      </c>
      <c r="B514" t="s">
        <v>114</v>
      </c>
      <c r="C514">
        <v>85</v>
      </c>
      <c r="D514">
        <v>61.509780382418803</v>
      </c>
    </row>
    <row r="515" spans="1:4" x14ac:dyDescent="0.25">
      <c r="A515">
        <v>2017</v>
      </c>
      <c r="B515" t="s">
        <v>114</v>
      </c>
      <c r="C515">
        <v>0</v>
      </c>
      <c r="D515">
        <v>29.037547111787202</v>
      </c>
    </row>
    <row r="516" spans="1:4" x14ac:dyDescent="0.25">
      <c r="A516">
        <v>2017</v>
      </c>
      <c r="B516" t="s">
        <v>114</v>
      </c>
      <c r="C516">
        <v>1</v>
      </c>
      <c r="D516">
        <v>60.075458580164302</v>
      </c>
    </row>
    <row r="517" spans="1:4" x14ac:dyDescent="0.25">
      <c r="A517">
        <v>2017</v>
      </c>
      <c r="B517" t="s">
        <v>114</v>
      </c>
      <c r="C517">
        <v>5</v>
      </c>
      <c r="D517">
        <v>42.158216547483697</v>
      </c>
    </row>
    <row r="518" spans="1:4" x14ac:dyDescent="0.25">
      <c r="A518">
        <v>2017</v>
      </c>
      <c r="B518" t="s">
        <v>114</v>
      </c>
      <c r="C518">
        <v>10</v>
      </c>
      <c r="D518">
        <v>152.823534984628</v>
      </c>
    </row>
    <row r="519" spans="1:4" x14ac:dyDescent="0.25">
      <c r="A519">
        <v>2017</v>
      </c>
      <c r="B519" t="s">
        <v>114</v>
      </c>
      <c r="C519">
        <v>15</v>
      </c>
      <c r="D519">
        <v>2213.3063687428898</v>
      </c>
    </row>
    <row r="520" spans="1:4" x14ac:dyDescent="0.25">
      <c r="A520">
        <v>2017</v>
      </c>
      <c r="B520" t="s">
        <v>114</v>
      </c>
      <c r="C520">
        <v>20</v>
      </c>
      <c r="D520">
        <v>4380.1242814677798</v>
      </c>
    </row>
    <row r="521" spans="1:4" x14ac:dyDescent="0.25">
      <c r="A521">
        <v>2017</v>
      </c>
      <c r="B521" t="s">
        <v>114</v>
      </c>
      <c r="C521">
        <v>25</v>
      </c>
      <c r="D521">
        <v>4657.3321348366198</v>
      </c>
    </row>
    <row r="522" spans="1:4" x14ac:dyDescent="0.25">
      <c r="A522">
        <v>2017</v>
      </c>
      <c r="B522" t="s">
        <v>114</v>
      </c>
      <c r="C522">
        <v>30</v>
      </c>
      <c r="D522">
        <v>4380.0556645997103</v>
      </c>
    </row>
    <row r="523" spans="1:4" x14ac:dyDescent="0.25">
      <c r="A523">
        <v>2017</v>
      </c>
      <c r="B523" t="s">
        <v>114</v>
      </c>
      <c r="C523">
        <v>35</v>
      </c>
      <c r="D523">
        <v>3798.0480107182202</v>
      </c>
    </row>
    <row r="524" spans="1:4" x14ac:dyDescent="0.25">
      <c r="A524">
        <v>2017</v>
      </c>
      <c r="B524" t="s">
        <v>114</v>
      </c>
      <c r="C524">
        <v>40</v>
      </c>
      <c r="D524">
        <v>3182.7646347745399</v>
      </c>
    </row>
    <row r="525" spans="1:4" x14ac:dyDescent="0.25">
      <c r="A525">
        <v>2017</v>
      </c>
      <c r="B525" t="s">
        <v>114</v>
      </c>
      <c r="C525">
        <v>45</v>
      </c>
      <c r="D525">
        <v>2123.7201585794901</v>
      </c>
    </row>
    <row r="526" spans="1:4" x14ac:dyDescent="0.25">
      <c r="A526">
        <v>2017</v>
      </c>
      <c r="B526" t="s">
        <v>114</v>
      </c>
      <c r="C526">
        <v>50</v>
      </c>
      <c r="D526">
        <v>1409.13838809964</v>
      </c>
    </row>
    <row r="527" spans="1:4" x14ac:dyDescent="0.25">
      <c r="A527">
        <v>2017</v>
      </c>
      <c r="B527" t="s">
        <v>114</v>
      </c>
      <c r="C527">
        <v>55</v>
      </c>
      <c r="D527">
        <v>959.09942645525405</v>
      </c>
    </row>
    <row r="528" spans="1:4" x14ac:dyDescent="0.25">
      <c r="A528">
        <v>2017</v>
      </c>
      <c r="B528" t="s">
        <v>114</v>
      </c>
      <c r="C528">
        <v>60</v>
      </c>
      <c r="D528">
        <v>595.48480873320705</v>
      </c>
    </row>
    <row r="529" spans="1:4" x14ac:dyDescent="0.25">
      <c r="A529">
        <v>2017</v>
      </c>
      <c r="B529" t="s">
        <v>114</v>
      </c>
      <c r="C529">
        <v>65</v>
      </c>
      <c r="D529">
        <v>415.11682224329797</v>
      </c>
    </row>
    <row r="530" spans="1:4" x14ac:dyDescent="0.25">
      <c r="A530">
        <v>2017</v>
      </c>
      <c r="B530" t="s">
        <v>114</v>
      </c>
      <c r="C530">
        <v>70</v>
      </c>
      <c r="D530">
        <v>263.488853421773</v>
      </c>
    </row>
    <row r="531" spans="1:4" x14ac:dyDescent="0.25">
      <c r="A531">
        <v>2017</v>
      </c>
      <c r="B531" t="s">
        <v>114</v>
      </c>
      <c r="C531">
        <v>75</v>
      </c>
      <c r="D531">
        <v>154.93144581200301</v>
      </c>
    </row>
    <row r="532" spans="1:4" x14ac:dyDescent="0.25">
      <c r="A532">
        <v>2017</v>
      </c>
      <c r="B532" t="s">
        <v>114</v>
      </c>
      <c r="C532">
        <v>80</v>
      </c>
      <c r="D532">
        <v>69.561057303348093</v>
      </c>
    </row>
    <row r="533" spans="1:4" x14ac:dyDescent="0.25">
      <c r="A533">
        <v>2017</v>
      </c>
      <c r="B533" t="s">
        <v>114</v>
      </c>
      <c r="C533">
        <v>85</v>
      </c>
      <c r="D533">
        <v>42.158216547483697</v>
      </c>
    </row>
    <row r="534" spans="1:4" x14ac:dyDescent="0.25">
      <c r="A534">
        <v>2018</v>
      </c>
      <c r="B534" t="s">
        <v>114</v>
      </c>
      <c r="C534">
        <v>0</v>
      </c>
      <c r="D534">
        <v>44.487404429546999</v>
      </c>
    </row>
    <row r="535" spans="1:4" x14ac:dyDescent="0.25">
      <c r="A535">
        <v>2018</v>
      </c>
      <c r="B535" t="s">
        <v>114</v>
      </c>
      <c r="C535">
        <v>1</v>
      </c>
      <c r="D535">
        <v>63.208099779183499</v>
      </c>
    </row>
    <row r="536" spans="1:4" x14ac:dyDescent="0.25">
      <c r="A536">
        <v>2018</v>
      </c>
      <c r="B536" t="s">
        <v>114</v>
      </c>
      <c r="C536">
        <v>5</v>
      </c>
      <c r="D536">
        <v>51.423538803403503</v>
      </c>
    </row>
    <row r="537" spans="1:4" x14ac:dyDescent="0.25">
      <c r="A537">
        <v>2018</v>
      </c>
      <c r="B537" t="s">
        <v>114</v>
      </c>
      <c r="C537">
        <v>10</v>
      </c>
      <c r="D537">
        <v>148.91399778485601</v>
      </c>
    </row>
    <row r="538" spans="1:4" x14ac:dyDescent="0.25">
      <c r="A538">
        <v>2018</v>
      </c>
      <c r="B538" t="s">
        <v>114</v>
      </c>
      <c r="C538">
        <v>15</v>
      </c>
      <c r="D538">
        <v>2335.3309318321099</v>
      </c>
    </row>
    <row r="539" spans="1:4" x14ac:dyDescent="0.25">
      <c r="A539">
        <v>2018</v>
      </c>
      <c r="B539" t="s">
        <v>114</v>
      </c>
      <c r="C539">
        <v>20</v>
      </c>
      <c r="D539">
        <v>4884.9007659825202</v>
      </c>
    </row>
    <row r="540" spans="1:4" x14ac:dyDescent="0.25">
      <c r="A540">
        <v>2018</v>
      </c>
      <c r="B540" t="s">
        <v>114</v>
      </c>
      <c r="C540">
        <v>25</v>
      </c>
      <c r="D540">
        <v>5495.4829825261504</v>
      </c>
    </row>
    <row r="541" spans="1:4" x14ac:dyDescent="0.25">
      <c r="A541">
        <v>2018</v>
      </c>
      <c r="B541" t="s">
        <v>114</v>
      </c>
      <c r="C541">
        <v>30</v>
      </c>
      <c r="D541">
        <v>4956.6370599621696</v>
      </c>
    </row>
    <row r="542" spans="1:4" x14ac:dyDescent="0.25">
      <c r="A542">
        <v>2018</v>
      </c>
      <c r="B542" t="s">
        <v>114</v>
      </c>
      <c r="C542">
        <v>35</v>
      </c>
      <c r="D542">
        <v>4423.7676158504901</v>
      </c>
    </row>
    <row r="543" spans="1:4" x14ac:dyDescent="0.25">
      <c r="A543">
        <v>2018</v>
      </c>
      <c r="B543" t="s">
        <v>114</v>
      </c>
      <c r="C543">
        <v>40</v>
      </c>
      <c r="D543">
        <v>3687.23286362925</v>
      </c>
    </row>
    <row r="544" spans="1:4" x14ac:dyDescent="0.25">
      <c r="A544">
        <v>2018</v>
      </c>
      <c r="B544" t="s">
        <v>114</v>
      </c>
      <c r="C544">
        <v>45</v>
      </c>
      <c r="D544">
        <v>2647.8700135910399</v>
      </c>
    </row>
    <row r="545" spans="1:4" x14ac:dyDescent="0.25">
      <c r="A545">
        <v>2018</v>
      </c>
      <c r="B545" t="s">
        <v>114</v>
      </c>
      <c r="C545">
        <v>50</v>
      </c>
      <c r="D545">
        <v>1710.7975820671199</v>
      </c>
    </row>
    <row r="546" spans="1:4" x14ac:dyDescent="0.25">
      <c r="A546">
        <v>2018</v>
      </c>
      <c r="B546" t="s">
        <v>114</v>
      </c>
      <c r="C546">
        <v>55</v>
      </c>
      <c r="D546">
        <v>1014.25853655933</v>
      </c>
    </row>
    <row r="547" spans="1:4" x14ac:dyDescent="0.25">
      <c r="A547">
        <v>2018</v>
      </c>
      <c r="B547" t="s">
        <v>114</v>
      </c>
      <c r="C547">
        <v>60</v>
      </c>
      <c r="D547">
        <v>641.72291131747295</v>
      </c>
    </row>
    <row r="548" spans="1:4" x14ac:dyDescent="0.25">
      <c r="A548">
        <v>2018</v>
      </c>
      <c r="B548" t="s">
        <v>114</v>
      </c>
      <c r="C548">
        <v>65</v>
      </c>
      <c r="D548">
        <v>365.32139024917899</v>
      </c>
    </row>
    <row r="549" spans="1:4" x14ac:dyDescent="0.25">
      <c r="A549">
        <v>2018</v>
      </c>
      <c r="B549" t="s">
        <v>114</v>
      </c>
      <c r="C549">
        <v>70</v>
      </c>
      <c r="D549">
        <v>232.47724834038701</v>
      </c>
    </row>
    <row r="550" spans="1:4" x14ac:dyDescent="0.25">
      <c r="A550">
        <v>2018</v>
      </c>
      <c r="B550" t="s">
        <v>114</v>
      </c>
      <c r="C550">
        <v>75</v>
      </c>
      <c r="D550">
        <v>142.48605543443</v>
      </c>
    </row>
    <row r="551" spans="1:4" x14ac:dyDescent="0.25">
      <c r="A551">
        <v>2018</v>
      </c>
      <c r="B551" t="s">
        <v>114</v>
      </c>
      <c r="C551">
        <v>80</v>
      </c>
      <c r="D551">
        <v>79.277955655246998</v>
      </c>
    </row>
    <row r="552" spans="1:4" x14ac:dyDescent="0.25">
      <c r="A552">
        <v>2018</v>
      </c>
      <c r="B552" t="s">
        <v>114</v>
      </c>
      <c r="C552">
        <v>85</v>
      </c>
      <c r="D552">
        <v>59.994128603970701</v>
      </c>
    </row>
    <row r="553" spans="1:4" x14ac:dyDescent="0.25">
      <c r="A553" s="133">
        <v>2019</v>
      </c>
      <c r="B553" s="133" t="s">
        <v>114</v>
      </c>
      <c r="C553" s="133">
        <v>0</v>
      </c>
      <c r="D553" s="133">
        <v>3</v>
      </c>
    </row>
    <row r="554" spans="1:4" x14ac:dyDescent="0.25">
      <c r="A554" s="133">
        <v>2019</v>
      </c>
      <c r="B554" s="133" t="s">
        <v>114</v>
      </c>
      <c r="C554" s="133">
        <v>1</v>
      </c>
      <c r="D554" s="133">
        <v>7</v>
      </c>
    </row>
    <row r="555" spans="1:4" x14ac:dyDescent="0.25">
      <c r="A555" s="133">
        <v>2019</v>
      </c>
      <c r="B555" s="133" t="s">
        <v>114</v>
      </c>
      <c r="C555" s="133">
        <v>5</v>
      </c>
      <c r="D555" s="133">
        <v>2</v>
      </c>
    </row>
    <row r="556" spans="1:4" x14ac:dyDescent="0.25">
      <c r="A556" s="133">
        <v>2019</v>
      </c>
      <c r="B556" s="133" t="s">
        <v>114</v>
      </c>
      <c r="C556" s="133">
        <v>10</v>
      </c>
      <c r="D556" s="133">
        <v>2</v>
      </c>
    </row>
    <row r="557" spans="1:4" x14ac:dyDescent="0.25">
      <c r="A557" s="133">
        <v>2019</v>
      </c>
      <c r="B557" s="133" t="s">
        <v>114</v>
      </c>
      <c r="C557" s="133">
        <v>15</v>
      </c>
      <c r="D557" s="133">
        <v>131</v>
      </c>
    </row>
    <row r="558" spans="1:4" x14ac:dyDescent="0.25">
      <c r="A558" s="133">
        <v>2019</v>
      </c>
      <c r="B558" s="133" t="s">
        <v>114</v>
      </c>
      <c r="C558" s="133">
        <v>20</v>
      </c>
      <c r="D558" s="133">
        <v>322</v>
      </c>
    </row>
    <row r="559" spans="1:4" x14ac:dyDescent="0.25">
      <c r="A559" s="133">
        <v>2019</v>
      </c>
      <c r="B559" s="133" t="s">
        <v>114</v>
      </c>
      <c r="C559" s="133">
        <v>25</v>
      </c>
      <c r="D559" s="133">
        <v>366</v>
      </c>
    </row>
    <row r="560" spans="1:4" x14ac:dyDescent="0.25">
      <c r="A560" s="133">
        <v>2019</v>
      </c>
      <c r="B560" s="133" t="s">
        <v>114</v>
      </c>
      <c r="C560" s="133">
        <v>30</v>
      </c>
      <c r="D560" s="133">
        <v>333</v>
      </c>
    </row>
    <row r="561" spans="1:4" x14ac:dyDescent="0.25">
      <c r="A561" s="133">
        <v>2019</v>
      </c>
      <c r="B561" s="133" t="s">
        <v>114</v>
      </c>
      <c r="C561" s="133">
        <v>35</v>
      </c>
      <c r="D561" s="133">
        <v>263</v>
      </c>
    </row>
    <row r="562" spans="1:4" x14ac:dyDescent="0.25">
      <c r="A562" s="133">
        <v>2019</v>
      </c>
      <c r="B562" s="133" t="s">
        <v>114</v>
      </c>
      <c r="C562" s="133">
        <v>40</v>
      </c>
      <c r="D562" s="133">
        <v>212</v>
      </c>
    </row>
    <row r="563" spans="1:4" x14ac:dyDescent="0.25">
      <c r="A563" s="133">
        <v>2019</v>
      </c>
      <c r="B563" s="133" t="s">
        <v>114</v>
      </c>
      <c r="C563" s="133">
        <v>45</v>
      </c>
      <c r="D563" s="133">
        <v>177</v>
      </c>
    </row>
    <row r="564" spans="1:4" x14ac:dyDescent="0.25">
      <c r="A564" s="133">
        <v>2019</v>
      </c>
      <c r="B564" s="133" t="s">
        <v>114</v>
      </c>
      <c r="C564" s="133">
        <v>50</v>
      </c>
      <c r="D564" s="133">
        <v>91</v>
      </c>
    </row>
    <row r="565" spans="1:4" x14ac:dyDescent="0.25">
      <c r="A565" s="133">
        <v>2019</v>
      </c>
      <c r="B565" s="133" t="s">
        <v>114</v>
      </c>
      <c r="C565" s="133">
        <v>55</v>
      </c>
      <c r="D565" s="133">
        <v>53</v>
      </c>
    </row>
    <row r="566" spans="1:4" x14ac:dyDescent="0.25">
      <c r="A566" s="133">
        <v>2019</v>
      </c>
      <c r="B566" s="133" t="s">
        <v>114</v>
      </c>
      <c r="C566" s="133">
        <v>60</v>
      </c>
      <c r="D566" s="133">
        <v>36</v>
      </c>
    </row>
    <row r="567" spans="1:4" x14ac:dyDescent="0.25">
      <c r="A567" s="133">
        <v>2019</v>
      </c>
      <c r="B567" s="133" t="s">
        <v>114</v>
      </c>
      <c r="C567" s="133">
        <v>65</v>
      </c>
      <c r="D567" s="133">
        <v>14</v>
      </c>
    </row>
    <row r="568" spans="1:4" x14ac:dyDescent="0.25">
      <c r="A568" s="133">
        <v>2019</v>
      </c>
      <c r="B568" s="133" t="s">
        <v>114</v>
      </c>
      <c r="C568" s="133">
        <v>70</v>
      </c>
      <c r="D568" s="133">
        <v>11</v>
      </c>
    </row>
    <row r="569" spans="1:4" x14ac:dyDescent="0.25">
      <c r="A569" s="133">
        <v>2019</v>
      </c>
      <c r="B569" s="133" t="s">
        <v>114</v>
      </c>
      <c r="C569" s="133">
        <v>75</v>
      </c>
      <c r="D569" s="133">
        <v>5</v>
      </c>
    </row>
    <row r="570" spans="1:4" x14ac:dyDescent="0.25">
      <c r="A570" s="133">
        <v>2019</v>
      </c>
      <c r="B570" s="133" t="s">
        <v>114</v>
      </c>
      <c r="C570" s="133">
        <v>80</v>
      </c>
      <c r="D570" s="133">
        <v>1</v>
      </c>
    </row>
    <row r="571" spans="1:4" x14ac:dyDescent="0.25">
      <c r="A571" s="133">
        <v>2019</v>
      </c>
      <c r="B571" s="133" t="s">
        <v>114</v>
      </c>
      <c r="C571" s="133">
        <v>85</v>
      </c>
      <c r="D571" s="133">
        <v>1</v>
      </c>
    </row>
    <row r="572" spans="1:4" x14ac:dyDescent="0.25">
      <c r="A572">
        <v>2020</v>
      </c>
      <c r="B572" t="s">
        <v>114</v>
      </c>
      <c r="C572">
        <v>0</v>
      </c>
      <c r="D572">
        <v>33.497505955109297</v>
      </c>
    </row>
    <row r="573" spans="1:4" x14ac:dyDescent="0.25">
      <c r="A573">
        <v>2020</v>
      </c>
      <c r="B573" t="s">
        <v>114</v>
      </c>
      <c r="C573">
        <v>1</v>
      </c>
      <c r="D573">
        <v>61.326203210123197</v>
      </c>
    </row>
    <row r="574" spans="1:4" x14ac:dyDescent="0.25">
      <c r="A574">
        <v>2020</v>
      </c>
      <c r="B574" t="s">
        <v>114</v>
      </c>
      <c r="C574">
        <v>5</v>
      </c>
      <c r="D574">
        <v>50.3750954940298</v>
      </c>
    </row>
    <row r="575" spans="1:4" x14ac:dyDescent="0.25">
      <c r="A575">
        <v>2020</v>
      </c>
      <c r="B575" t="s">
        <v>114</v>
      </c>
      <c r="C575">
        <v>10</v>
      </c>
      <c r="D575">
        <v>160.98128342657299</v>
      </c>
    </row>
    <row r="576" spans="1:4" x14ac:dyDescent="0.25">
      <c r="A576">
        <v>2020</v>
      </c>
      <c r="B576" t="s">
        <v>114</v>
      </c>
      <c r="C576">
        <v>15</v>
      </c>
      <c r="D576">
        <v>2274.5450726326098</v>
      </c>
    </row>
    <row r="577" spans="1:4" x14ac:dyDescent="0.25">
      <c r="A577">
        <v>2020</v>
      </c>
      <c r="B577" t="s">
        <v>114</v>
      </c>
      <c r="C577">
        <v>20</v>
      </c>
      <c r="D577">
        <v>5035.9197360820299</v>
      </c>
    </row>
    <row r="578" spans="1:4" x14ac:dyDescent="0.25">
      <c r="A578">
        <v>2020</v>
      </c>
      <c r="B578" t="s">
        <v>114</v>
      </c>
      <c r="C578">
        <v>25</v>
      </c>
      <c r="D578">
        <v>5591.5192251457202</v>
      </c>
    </row>
    <row r="579" spans="1:4" x14ac:dyDescent="0.25">
      <c r="A579">
        <v>2020</v>
      </c>
      <c r="B579" t="s">
        <v>114</v>
      </c>
      <c r="C579">
        <v>30</v>
      </c>
      <c r="D579">
        <v>4937.7421892646898</v>
      </c>
    </row>
    <row r="580" spans="1:4" x14ac:dyDescent="0.25">
      <c r="A580">
        <v>2020</v>
      </c>
      <c r="B580" t="s">
        <v>114</v>
      </c>
      <c r="C580">
        <v>35</v>
      </c>
      <c r="D580">
        <v>4278.4981364785599</v>
      </c>
    </row>
    <row r="581" spans="1:4" x14ac:dyDescent="0.25">
      <c r="A581">
        <v>2020</v>
      </c>
      <c r="B581" t="s">
        <v>114</v>
      </c>
      <c r="C581">
        <v>40</v>
      </c>
      <c r="D581">
        <v>3519.6860199524299</v>
      </c>
    </row>
    <row r="582" spans="1:4" x14ac:dyDescent="0.25">
      <c r="A582">
        <v>2020</v>
      </c>
      <c r="B582" t="s">
        <v>114</v>
      </c>
      <c r="C582">
        <v>45</v>
      </c>
      <c r="D582">
        <v>2636.51824945505</v>
      </c>
    </row>
    <row r="583" spans="1:4" x14ac:dyDescent="0.25">
      <c r="A583">
        <v>2020</v>
      </c>
      <c r="B583" t="s">
        <v>114</v>
      </c>
      <c r="C583">
        <v>50</v>
      </c>
      <c r="D583">
        <v>1758.7478992045999</v>
      </c>
    </row>
    <row r="584" spans="1:4" x14ac:dyDescent="0.25">
      <c r="A584">
        <v>2020</v>
      </c>
      <c r="B584" t="s">
        <v>114</v>
      </c>
      <c r="C584">
        <v>55</v>
      </c>
      <c r="D584">
        <v>1121.75944048363</v>
      </c>
    </row>
    <row r="585" spans="1:4" x14ac:dyDescent="0.25">
      <c r="A585">
        <v>2020</v>
      </c>
      <c r="B585" t="s">
        <v>114</v>
      </c>
      <c r="C585">
        <v>60</v>
      </c>
      <c r="D585">
        <v>833.35158957277804</v>
      </c>
    </row>
    <row r="586" spans="1:4" x14ac:dyDescent="0.25">
      <c r="A586">
        <v>2020</v>
      </c>
      <c r="B586" t="s">
        <v>114</v>
      </c>
      <c r="C586">
        <v>65</v>
      </c>
      <c r="D586">
        <v>382.19365929166099</v>
      </c>
    </row>
    <row r="587" spans="1:4" x14ac:dyDescent="0.25">
      <c r="A587">
        <v>2020</v>
      </c>
      <c r="B587" t="s">
        <v>114</v>
      </c>
      <c r="C587">
        <v>70</v>
      </c>
      <c r="D587">
        <v>228.878151266353</v>
      </c>
    </row>
    <row r="588" spans="1:4" x14ac:dyDescent="0.25">
      <c r="A588">
        <v>2020</v>
      </c>
      <c r="B588" t="s">
        <v>114</v>
      </c>
      <c r="C588">
        <v>75</v>
      </c>
      <c r="D588">
        <v>146.744843395652</v>
      </c>
    </row>
    <row r="589" spans="1:4" x14ac:dyDescent="0.25">
      <c r="A589">
        <v>2020</v>
      </c>
      <c r="B589" t="s">
        <v>114</v>
      </c>
      <c r="C589">
        <v>80</v>
      </c>
      <c r="D589">
        <v>111.701298704153</v>
      </c>
    </row>
    <row r="590" spans="1:4" x14ac:dyDescent="0.25">
      <c r="A590">
        <v>2020</v>
      </c>
      <c r="B590" t="s">
        <v>114</v>
      </c>
      <c r="C590">
        <v>85</v>
      </c>
      <c r="D590">
        <v>85.498770241987998</v>
      </c>
    </row>
    <row r="591" spans="1:4" x14ac:dyDescent="0.25">
      <c r="A591">
        <v>2021</v>
      </c>
      <c r="B591" t="s">
        <v>114</v>
      </c>
      <c r="C591">
        <v>0</v>
      </c>
      <c r="D591">
        <v>36.500725377924802</v>
      </c>
    </row>
    <row r="592" spans="1:4" x14ac:dyDescent="0.25">
      <c r="A592">
        <v>2021</v>
      </c>
      <c r="B592" t="s">
        <v>114</v>
      </c>
      <c r="C592">
        <v>1</v>
      </c>
      <c r="D592">
        <v>49.846303094228603</v>
      </c>
    </row>
    <row r="593" spans="1:4" x14ac:dyDescent="0.25">
      <c r="A593">
        <v>2021</v>
      </c>
      <c r="B593" t="s">
        <v>114</v>
      </c>
      <c r="C593">
        <v>5</v>
      </c>
      <c r="D593">
        <v>57.431610086828599</v>
      </c>
    </row>
    <row r="594" spans="1:4" x14ac:dyDescent="0.25">
      <c r="A594">
        <v>2021</v>
      </c>
      <c r="B594" t="s">
        <v>114</v>
      </c>
      <c r="C594">
        <v>10</v>
      </c>
      <c r="D594">
        <v>149.53890928268601</v>
      </c>
    </row>
    <row r="595" spans="1:4" x14ac:dyDescent="0.25">
      <c r="A595">
        <v>2021</v>
      </c>
      <c r="B595" t="s">
        <v>114</v>
      </c>
      <c r="C595">
        <v>15</v>
      </c>
      <c r="D595">
        <v>2087.0430382496602</v>
      </c>
    </row>
    <row r="596" spans="1:4" x14ac:dyDescent="0.25">
      <c r="A596">
        <v>2021</v>
      </c>
      <c r="B596" t="s">
        <v>114</v>
      </c>
      <c r="C596">
        <v>20</v>
      </c>
      <c r="D596">
        <v>4743.5921871115897</v>
      </c>
    </row>
    <row r="597" spans="1:4" x14ac:dyDescent="0.25">
      <c r="A597">
        <v>2021</v>
      </c>
      <c r="B597" t="s">
        <v>114</v>
      </c>
      <c r="C597">
        <v>25</v>
      </c>
      <c r="D597">
        <v>5164.0463594248404</v>
      </c>
    </row>
    <row r="598" spans="1:4" x14ac:dyDescent="0.25">
      <c r="A598">
        <v>2021</v>
      </c>
      <c r="B598" t="s">
        <v>114</v>
      </c>
      <c r="C598">
        <v>30</v>
      </c>
      <c r="D598">
        <v>4793.5648471055001</v>
      </c>
    </row>
    <row r="599" spans="1:4" x14ac:dyDescent="0.25">
      <c r="A599">
        <v>2021</v>
      </c>
      <c r="B599" t="s">
        <v>114</v>
      </c>
      <c r="C599">
        <v>35</v>
      </c>
      <c r="D599">
        <v>4134.9620487833199</v>
      </c>
    </row>
    <row r="600" spans="1:4" x14ac:dyDescent="0.25">
      <c r="A600">
        <v>2021</v>
      </c>
      <c r="B600" t="s">
        <v>114</v>
      </c>
      <c r="C600">
        <v>40</v>
      </c>
      <c r="D600">
        <v>3340.47132461211</v>
      </c>
    </row>
    <row r="601" spans="1:4" x14ac:dyDescent="0.25">
      <c r="A601">
        <v>2021</v>
      </c>
      <c r="B601" t="s">
        <v>114</v>
      </c>
      <c r="C601">
        <v>45</v>
      </c>
      <c r="D601">
        <v>2563.51600231567</v>
      </c>
    </row>
    <row r="602" spans="1:4" x14ac:dyDescent="0.25">
      <c r="A602">
        <v>2021</v>
      </c>
      <c r="B602" t="s">
        <v>114</v>
      </c>
      <c r="C602">
        <v>50</v>
      </c>
      <c r="D602">
        <v>1730.4354359050001</v>
      </c>
    </row>
    <row r="603" spans="1:4" x14ac:dyDescent="0.25">
      <c r="A603">
        <v>2021</v>
      </c>
      <c r="B603" t="s">
        <v>114</v>
      </c>
      <c r="C603">
        <v>55</v>
      </c>
      <c r="D603">
        <v>994.75883131525802</v>
      </c>
    </row>
    <row r="604" spans="1:4" x14ac:dyDescent="0.25">
      <c r="A604">
        <v>2021</v>
      </c>
      <c r="B604" t="s">
        <v>114</v>
      </c>
      <c r="C604">
        <v>60</v>
      </c>
      <c r="D604">
        <v>663.17255421017205</v>
      </c>
    </row>
    <row r="605" spans="1:4" x14ac:dyDescent="0.25">
      <c r="A605">
        <v>2021</v>
      </c>
      <c r="B605" t="s">
        <v>114</v>
      </c>
      <c r="C605">
        <v>65</v>
      </c>
      <c r="D605">
        <v>397.68680946917198</v>
      </c>
    </row>
    <row r="606" spans="1:4" x14ac:dyDescent="0.25">
      <c r="A606">
        <v>2021</v>
      </c>
      <c r="B606" t="s">
        <v>114</v>
      </c>
      <c r="C606">
        <v>70</v>
      </c>
      <c r="D606">
        <v>229.72644034731499</v>
      </c>
    </row>
    <row r="607" spans="1:4" x14ac:dyDescent="0.25">
      <c r="A607">
        <v>2021</v>
      </c>
      <c r="B607" t="s">
        <v>114</v>
      </c>
      <c r="C607">
        <v>75</v>
      </c>
      <c r="D607">
        <v>119.19768131228599</v>
      </c>
    </row>
    <row r="608" spans="1:4" x14ac:dyDescent="0.25">
      <c r="A608">
        <v>2021</v>
      </c>
      <c r="B608" t="s">
        <v>114</v>
      </c>
      <c r="C608">
        <v>80</v>
      </c>
      <c r="D608">
        <v>66.100532364085794</v>
      </c>
    </row>
    <row r="609" spans="1:4" x14ac:dyDescent="0.25">
      <c r="A609">
        <v>2021</v>
      </c>
      <c r="B609" t="s">
        <v>114</v>
      </c>
      <c r="C609">
        <v>85</v>
      </c>
      <c r="D609">
        <v>65.492650619034194</v>
      </c>
    </row>
    <row r="610" spans="1:4" x14ac:dyDescent="0.25">
      <c r="A610">
        <v>2022</v>
      </c>
      <c r="B610" t="s">
        <v>114</v>
      </c>
      <c r="C610">
        <v>0</v>
      </c>
      <c r="D610">
        <v>33.8555491749214</v>
      </c>
    </row>
    <row r="611" spans="1:4" x14ac:dyDescent="0.25">
      <c r="A611">
        <v>2022</v>
      </c>
      <c r="B611" t="s">
        <v>114</v>
      </c>
      <c r="C611">
        <v>1</v>
      </c>
      <c r="D611">
        <v>44.776694070057403</v>
      </c>
    </row>
    <row r="612" spans="1:4" x14ac:dyDescent="0.25">
      <c r="A612">
        <v>2022</v>
      </c>
      <c r="B612" t="s">
        <v>114</v>
      </c>
      <c r="C612">
        <v>5</v>
      </c>
      <c r="D612">
        <v>49.145152028111802</v>
      </c>
    </row>
    <row r="613" spans="1:4" x14ac:dyDescent="0.25">
      <c r="A613">
        <v>2022</v>
      </c>
      <c r="B613" t="s">
        <v>114</v>
      </c>
      <c r="C613">
        <v>10</v>
      </c>
      <c r="D613">
        <v>151.80391404239001</v>
      </c>
    </row>
    <row r="614" spans="1:4" x14ac:dyDescent="0.25">
      <c r="A614">
        <v>2022</v>
      </c>
      <c r="B614" t="s">
        <v>114</v>
      </c>
      <c r="C614">
        <v>15</v>
      </c>
      <c r="D614">
        <v>2095.7677053765901</v>
      </c>
    </row>
    <row r="615" spans="1:4" x14ac:dyDescent="0.25">
      <c r="A615">
        <v>2022</v>
      </c>
      <c r="B615" t="s">
        <v>114</v>
      </c>
      <c r="C615">
        <v>20</v>
      </c>
      <c r="D615">
        <v>4042.8753448079701</v>
      </c>
    </row>
    <row r="616" spans="1:4" x14ac:dyDescent="0.25">
      <c r="A616">
        <v>2022</v>
      </c>
      <c r="B616" t="s">
        <v>114</v>
      </c>
      <c r="C616">
        <v>25</v>
      </c>
      <c r="D616">
        <v>4703.6064813143303</v>
      </c>
    </row>
    <row r="617" spans="1:4" x14ac:dyDescent="0.25">
      <c r="A617">
        <v>2022</v>
      </c>
      <c r="B617" t="s">
        <v>114</v>
      </c>
      <c r="C617">
        <v>30</v>
      </c>
      <c r="D617">
        <v>4470.8746607945804</v>
      </c>
    </row>
    <row r="618" spans="1:4" x14ac:dyDescent="0.25">
      <c r="A618">
        <v>2022</v>
      </c>
      <c r="B618" t="s">
        <v>114</v>
      </c>
      <c r="C618">
        <v>35</v>
      </c>
      <c r="D618">
        <v>3738.3078976050301</v>
      </c>
    </row>
    <row r="619" spans="1:4" x14ac:dyDescent="0.25">
      <c r="A619">
        <v>2022</v>
      </c>
      <c r="B619" t="s">
        <v>114</v>
      </c>
      <c r="C619">
        <v>40</v>
      </c>
      <c r="D619">
        <v>3122.3553255193701</v>
      </c>
    </row>
    <row r="620" spans="1:4" x14ac:dyDescent="0.25">
      <c r="A620">
        <v>2022</v>
      </c>
      <c r="B620" t="s">
        <v>114</v>
      </c>
      <c r="C620">
        <v>45</v>
      </c>
      <c r="D620">
        <v>2421.0115448811798</v>
      </c>
    </row>
    <row r="621" spans="1:4" x14ac:dyDescent="0.25">
      <c r="A621">
        <v>2022</v>
      </c>
      <c r="B621" t="s">
        <v>114</v>
      </c>
      <c r="C621">
        <v>50</v>
      </c>
      <c r="D621">
        <v>1633.8032763123399</v>
      </c>
    </row>
    <row r="622" spans="1:4" x14ac:dyDescent="0.25">
      <c r="A622">
        <v>2022</v>
      </c>
      <c r="B622" t="s">
        <v>114</v>
      </c>
      <c r="C622">
        <v>55</v>
      </c>
      <c r="D622">
        <v>1037.5087650379101</v>
      </c>
    </row>
    <row r="623" spans="1:4" x14ac:dyDescent="0.25">
      <c r="A623">
        <v>2022</v>
      </c>
      <c r="B623" t="s">
        <v>114</v>
      </c>
      <c r="C623">
        <v>60</v>
      </c>
      <c r="D623">
        <v>636.70274738642604</v>
      </c>
    </row>
    <row r="624" spans="1:4" x14ac:dyDescent="0.25">
      <c r="A624">
        <v>2022</v>
      </c>
      <c r="B624" t="s">
        <v>114</v>
      </c>
      <c r="C624">
        <v>65</v>
      </c>
      <c r="D624">
        <v>361.31716363524998</v>
      </c>
    </row>
    <row r="625" spans="1:4" x14ac:dyDescent="0.25">
      <c r="A625">
        <v>2022</v>
      </c>
      <c r="B625" t="s">
        <v>114</v>
      </c>
      <c r="C625">
        <v>70</v>
      </c>
      <c r="D625">
        <v>216.23866892369199</v>
      </c>
    </row>
    <row r="626" spans="1:4" x14ac:dyDescent="0.25">
      <c r="A626">
        <v>2022</v>
      </c>
      <c r="B626" t="s">
        <v>114</v>
      </c>
      <c r="C626">
        <v>75</v>
      </c>
      <c r="D626">
        <v>134.33008221017201</v>
      </c>
    </row>
    <row r="627" spans="1:4" x14ac:dyDescent="0.25">
      <c r="A627">
        <v>2022</v>
      </c>
      <c r="B627" t="s">
        <v>114</v>
      </c>
      <c r="C627">
        <v>80</v>
      </c>
      <c r="D627">
        <v>73.171670797410798</v>
      </c>
    </row>
    <row r="628" spans="1:4" x14ac:dyDescent="0.25">
      <c r="A628">
        <v>2022</v>
      </c>
      <c r="B628" t="s">
        <v>114</v>
      </c>
      <c r="C628">
        <v>85</v>
      </c>
      <c r="D628">
        <v>82.818682121447594</v>
      </c>
    </row>
    <row r="629" spans="1:4" x14ac:dyDescent="0.25">
      <c r="A629">
        <v>2023</v>
      </c>
      <c r="B629" t="s">
        <v>114</v>
      </c>
      <c r="C629">
        <v>0</v>
      </c>
      <c r="D629">
        <v>23.1132158561784</v>
      </c>
    </row>
    <row r="630" spans="1:4" x14ac:dyDescent="0.25">
      <c r="A630">
        <v>2023</v>
      </c>
      <c r="B630" t="s">
        <v>114</v>
      </c>
      <c r="C630">
        <v>1</v>
      </c>
      <c r="D630">
        <v>51.6015981905377</v>
      </c>
    </row>
    <row r="631" spans="1:4" x14ac:dyDescent="0.25">
      <c r="A631">
        <v>2023</v>
      </c>
      <c r="B631" t="s">
        <v>114</v>
      </c>
      <c r="C631">
        <v>5</v>
      </c>
      <c r="D631">
        <v>40.851265234175699</v>
      </c>
    </row>
    <row r="632" spans="1:4" x14ac:dyDescent="0.25">
      <c r="A632">
        <v>2023</v>
      </c>
      <c r="B632" t="s">
        <v>114</v>
      </c>
      <c r="C632">
        <v>10</v>
      </c>
      <c r="D632">
        <v>139.75432843270599</v>
      </c>
    </row>
    <row r="633" spans="1:4" x14ac:dyDescent="0.25">
      <c r="A633">
        <v>2023</v>
      </c>
      <c r="B633" t="s">
        <v>114</v>
      </c>
      <c r="C633">
        <v>15</v>
      </c>
      <c r="D633">
        <v>1840.45700212918</v>
      </c>
    </row>
    <row r="634" spans="1:4" x14ac:dyDescent="0.25">
      <c r="A634">
        <v>2023</v>
      </c>
      <c r="B634" t="s">
        <v>114</v>
      </c>
      <c r="C634">
        <v>20</v>
      </c>
      <c r="D634">
        <v>3773.0772928535598</v>
      </c>
    </row>
    <row r="635" spans="1:4" x14ac:dyDescent="0.25">
      <c r="A635">
        <v>2023</v>
      </c>
      <c r="B635" t="s">
        <v>114</v>
      </c>
      <c r="C635">
        <v>25</v>
      </c>
      <c r="D635">
        <v>4642.8452290577798</v>
      </c>
    </row>
    <row r="636" spans="1:4" x14ac:dyDescent="0.25">
      <c r="A636">
        <v>2023</v>
      </c>
      <c r="B636" t="s">
        <v>114</v>
      </c>
      <c r="C636">
        <v>30</v>
      </c>
      <c r="D636">
        <v>4409.5433416615797</v>
      </c>
    </row>
    <row r="637" spans="1:4" x14ac:dyDescent="0.25">
      <c r="A637">
        <v>2023</v>
      </c>
      <c r="B637" t="s">
        <v>114</v>
      </c>
      <c r="C637">
        <v>35</v>
      </c>
      <c r="D637">
        <v>3712.9447414953702</v>
      </c>
    </row>
    <row r="638" spans="1:4" x14ac:dyDescent="0.25">
      <c r="A638">
        <v>2023</v>
      </c>
      <c r="B638" t="s">
        <v>114</v>
      </c>
      <c r="C638">
        <v>40</v>
      </c>
      <c r="D638">
        <v>2996.0020962874501</v>
      </c>
    </row>
    <row r="639" spans="1:4" x14ac:dyDescent="0.25">
      <c r="A639">
        <v>2023</v>
      </c>
      <c r="B639" t="s">
        <v>114</v>
      </c>
      <c r="C639">
        <v>45</v>
      </c>
      <c r="D639">
        <v>2319.8154263809802</v>
      </c>
    </row>
    <row r="640" spans="1:4" x14ac:dyDescent="0.25">
      <c r="A640">
        <v>2023</v>
      </c>
      <c r="B640" t="s">
        <v>114</v>
      </c>
      <c r="C640">
        <v>50</v>
      </c>
      <c r="D640">
        <v>1632.8638843004201</v>
      </c>
    </row>
    <row r="641" spans="1:4" x14ac:dyDescent="0.25">
      <c r="A641">
        <v>2023</v>
      </c>
      <c r="B641" t="s">
        <v>114</v>
      </c>
      <c r="C641">
        <v>55</v>
      </c>
      <c r="D641">
        <v>1117.9351047286</v>
      </c>
    </row>
    <row r="642" spans="1:4" x14ac:dyDescent="0.25">
      <c r="A642">
        <v>2023</v>
      </c>
      <c r="B642" t="s">
        <v>114</v>
      </c>
      <c r="C642">
        <v>60</v>
      </c>
      <c r="D642">
        <v>634.26964442535996</v>
      </c>
    </row>
    <row r="643" spans="1:4" x14ac:dyDescent="0.25">
      <c r="A643">
        <v>2023</v>
      </c>
      <c r="B643" t="s">
        <v>114</v>
      </c>
      <c r="C643">
        <v>65</v>
      </c>
      <c r="D643">
        <v>380.561786655216</v>
      </c>
    </row>
    <row r="644" spans="1:4" x14ac:dyDescent="0.25">
      <c r="A644">
        <v>2023</v>
      </c>
      <c r="B644" t="s">
        <v>114</v>
      </c>
      <c r="C644">
        <v>70</v>
      </c>
      <c r="D644">
        <v>212.85659253596799</v>
      </c>
    </row>
    <row r="645" spans="1:4" x14ac:dyDescent="0.25">
      <c r="A645">
        <v>2023</v>
      </c>
      <c r="B645" t="s">
        <v>114</v>
      </c>
      <c r="C645">
        <v>75</v>
      </c>
      <c r="D645">
        <v>116.10359592871001</v>
      </c>
    </row>
    <row r="646" spans="1:4" x14ac:dyDescent="0.25">
      <c r="A646">
        <v>2023</v>
      </c>
      <c r="B646" t="s">
        <v>114</v>
      </c>
      <c r="C646">
        <v>80</v>
      </c>
      <c r="D646">
        <v>58.051797964355004</v>
      </c>
    </row>
    <row r="647" spans="1:4" x14ac:dyDescent="0.25">
      <c r="A647">
        <v>2023</v>
      </c>
      <c r="B647" t="s">
        <v>114</v>
      </c>
      <c r="C647">
        <v>85</v>
      </c>
      <c r="D647">
        <v>39.776231938539503</v>
      </c>
    </row>
    <row r="648" spans="1:4" x14ac:dyDescent="0.25">
      <c r="A648">
        <v>2024</v>
      </c>
      <c r="B648" t="s">
        <v>114</v>
      </c>
      <c r="C648">
        <v>0</v>
      </c>
      <c r="D648">
        <v>15.475607016538</v>
      </c>
    </row>
    <row r="649" spans="1:4" x14ac:dyDescent="0.25">
      <c r="A649">
        <v>2024</v>
      </c>
      <c r="B649" t="s">
        <v>114</v>
      </c>
      <c r="C649">
        <v>1</v>
      </c>
      <c r="D649">
        <v>33.043579267454902</v>
      </c>
    </row>
    <row r="650" spans="1:4" x14ac:dyDescent="0.25">
      <c r="A650">
        <v>2024</v>
      </c>
      <c r="B650" t="s">
        <v>114</v>
      </c>
      <c r="C650">
        <v>5</v>
      </c>
      <c r="D650">
        <v>34.109501179308303</v>
      </c>
    </row>
    <row r="651" spans="1:4" x14ac:dyDescent="0.25">
      <c r="A651">
        <v>2024</v>
      </c>
      <c r="B651" t="s">
        <v>114</v>
      </c>
      <c r="C651">
        <v>10</v>
      </c>
      <c r="D651">
        <v>157.75644295430101</v>
      </c>
    </row>
    <row r="652" spans="1:4" x14ac:dyDescent="0.25">
      <c r="A652">
        <v>2024</v>
      </c>
      <c r="B652" t="s">
        <v>114</v>
      </c>
      <c r="C652">
        <v>15</v>
      </c>
      <c r="D652">
        <v>2030.5812420806999</v>
      </c>
    </row>
    <row r="653" spans="1:4" x14ac:dyDescent="0.25">
      <c r="A653">
        <v>2024</v>
      </c>
      <c r="B653" t="s">
        <v>114</v>
      </c>
      <c r="C653">
        <v>20</v>
      </c>
      <c r="D653">
        <v>3936.3287955124001</v>
      </c>
    </row>
    <row r="654" spans="1:4" x14ac:dyDescent="0.25">
      <c r="A654">
        <v>2024</v>
      </c>
      <c r="B654" t="s">
        <v>114</v>
      </c>
      <c r="C654">
        <v>25</v>
      </c>
      <c r="D654">
        <v>4456.6195134589998</v>
      </c>
    </row>
    <row r="655" spans="1:4" x14ac:dyDescent="0.25">
      <c r="A655">
        <v>2024</v>
      </c>
      <c r="B655" t="s">
        <v>114</v>
      </c>
      <c r="C655">
        <v>30</v>
      </c>
      <c r="D655">
        <v>4532.1829968274396</v>
      </c>
    </row>
    <row r="656" spans="1:4" x14ac:dyDescent="0.25">
      <c r="A656">
        <v>2024</v>
      </c>
      <c r="B656" t="s">
        <v>114</v>
      </c>
      <c r="C656">
        <v>35</v>
      </c>
      <c r="D656">
        <v>3718.8816681447402</v>
      </c>
    </row>
    <row r="657" spans="1:4" x14ac:dyDescent="0.25">
      <c r="A657">
        <v>2024</v>
      </c>
      <c r="B657" t="s">
        <v>114</v>
      </c>
      <c r="C657">
        <v>40</v>
      </c>
      <c r="D657">
        <v>3078.14780112266</v>
      </c>
    </row>
    <row r="658" spans="1:4" x14ac:dyDescent="0.25">
      <c r="A658">
        <v>2024</v>
      </c>
      <c r="B658" t="s">
        <v>114</v>
      </c>
      <c r="C658">
        <v>45</v>
      </c>
      <c r="D658">
        <v>2366.3466443145098</v>
      </c>
    </row>
    <row r="659" spans="1:4" x14ac:dyDescent="0.25">
      <c r="A659">
        <v>2024</v>
      </c>
      <c r="B659" t="s">
        <v>114</v>
      </c>
      <c r="C659">
        <v>50</v>
      </c>
      <c r="D659">
        <v>1696.84151374615</v>
      </c>
    </row>
    <row r="660" spans="1:4" x14ac:dyDescent="0.25">
      <c r="A660">
        <v>2024</v>
      </c>
      <c r="B660" t="s">
        <v>114</v>
      </c>
      <c r="C660">
        <v>55</v>
      </c>
      <c r="D660">
        <v>1087.24035009045</v>
      </c>
    </row>
    <row r="661" spans="1:4" x14ac:dyDescent="0.25">
      <c r="A661">
        <v>2024</v>
      </c>
      <c r="B661" t="s">
        <v>114</v>
      </c>
      <c r="C661">
        <v>60</v>
      </c>
      <c r="D661">
        <v>673.662648291339</v>
      </c>
    </row>
    <row r="662" spans="1:4" x14ac:dyDescent="0.25">
      <c r="A662">
        <v>2024</v>
      </c>
      <c r="B662" t="s">
        <v>114</v>
      </c>
      <c r="C662">
        <v>65</v>
      </c>
      <c r="D662">
        <v>389.06149782648498</v>
      </c>
    </row>
    <row r="663" spans="1:4" x14ac:dyDescent="0.25">
      <c r="A663">
        <v>2024</v>
      </c>
      <c r="B663" t="s">
        <v>114</v>
      </c>
      <c r="C663">
        <v>70</v>
      </c>
      <c r="D663">
        <v>204.65700707585</v>
      </c>
    </row>
    <row r="664" spans="1:4" x14ac:dyDescent="0.25">
      <c r="A664">
        <v>2024</v>
      </c>
      <c r="B664" t="s">
        <v>114</v>
      </c>
      <c r="C664">
        <v>75</v>
      </c>
      <c r="D664">
        <v>132.17431706982001</v>
      </c>
    </row>
    <row r="665" spans="1:4" x14ac:dyDescent="0.25">
      <c r="A665">
        <v>2024</v>
      </c>
      <c r="B665" t="s">
        <v>114</v>
      </c>
      <c r="C665">
        <v>80</v>
      </c>
      <c r="D665">
        <v>58.625705151936103</v>
      </c>
    </row>
    <row r="666" spans="1:4" x14ac:dyDescent="0.25">
      <c r="A666">
        <v>2024</v>
      </c>
      <c r="B666" t="s">
        <v>114</v>
      </c>
      <c r="C666">
        <v>85</v>
      </c>
      <c r="D666">
        <v>51.939467704855801</v>
      </c>
    </row>
    <row r="667" spans="1:4" x14ac:dyDescent="0.25">
      <c r="A667">
        <v>1990</v>
      </c>
      <c r="B667" t="s">
        <v>115</v>
      </c>
      <c r="C667">
        <v>0</v>
      </c>
      <c r="D667">
        <v>64.459034017401805</v>
      </c>
    </row>
    <row r="668" spans="1:4" x14ac:dyDescent="0.25">
      <c r="A668">
        <v>1990</v>
      </c>
      <c r="B668" t="s">
        <v>115</v>
      </c>
      <c r="C668">
        <v>1</v>
      </c>
      <c r="D668">
        <v>79.686172306126807</v>
      </c>
    </row>
    <row r="669" spans="1:4" x14ac:dyDescent="0.25">
      <c r="A669">
        <v>1990</v>
      </c>
      <c r="B669" t="s">
        <v>115</v>
      </c>
      <c r="C669">
        <v>5</v>
      </c>
      <c r="D669">
        <v>61.300818715169001</v>
      </c>
    </row>
    <row r="670" spans="1:4" x14ac:dyDescent="0.25">
      <c r="A670">
        <v>1990</v>
      </c>
      <c r="B670" t="s">
        <v>115</v>
      </c>
      <c r="C670">
        <v>10</v>
      </c>
      <c r="D670">
        <v>81.280344814927801</v>
      </c>
    </row>
    <row r="671" spans="1:4" x14ac:dyDescent="0.25">
      <c r="A671">
        <v>1990</v>
      </c>
      <c r="B671" t="s">
        <v>115</v>
      </c>
      <c r="C671">
        <v>15</v>
      </c>
      <c r="D671">
        <v>163.80595349707099</v>
      </c>
    </row>
    <row r="672" spans="1:4" x14ac:dyDescent="0.25">
      <c r="A672">
        <v>1990</v>
      </c>
      <c r="B672" t="s">
        <v>115</v>
      </c>
      <c r="C672">
        <v>20</v>
      </c>
      <c r="D672">
        <v>181.16383475191299</v>
      </c>
    </row>
    <row r="673" spans="1:4" x14ac:dyDescent="0.25">
      <c r="A673">
        <v>1990</v>
      </c>
      <c r="B673" t="s">
        <v>115</v>
      </c>
      <c r="C673">
        <v>25</v>
      </c>
      <c r="D673">
        <v>174.995453492862</v>
      </c>
    </row>
    <row r="674" spans="1:4" x14ac:dyDescent="0.25">
      <c r="A674">
        <v>1990</v>
      </c>
      <c r="B674" t="s">
        <v>115</v>
      </c>
      <c r="C674">
        <v>30</v>
      </c>
      <c r="D674">
        <v>110.192573813446</v>
      </c>
    </row>
    <row r="675" spans="1:4" x14ac:dyDescent="0.25">
      <c r="A675">
        <v>1990</v>
      </c>
      <c r="B675" t="s">
        <v>115</v>
      </c>
      <c r="C675">
        <v>35</v>
      </c>
      <c r="D675">
        <v>115.118780259332</v>
      </c>
    </row>
    <row r="676" spans="1:4" x14ac:dyDescent="0.25">
      <c r="A676">
        <v>1990</v>
      </c>
      <c r="B676" t="s">
        <v>115</v>
      </c>
      <c r="C676">
        <v>40</v>
      </c>
      <c r="D676">
        <v>96.520409467726793</v>
      </c>
    </row>
    <row r="677" spans="1:4" x14ac:dyDescent="0.25">
      <c r="A677">
        <v>1990</v>
      </c>
      <c r="B677" t="s">
        <v>115</v>
      </c>
      <c r="C677">
        <v>45</v>
      </c>
      <c r="D677">
        <v>72.2135397556074</v>
      </c>
    </row>
    <row r="678" spans="1:4" x14ac:dyDescent="0.25">
      <c r="A678">
        <v>1990</v>
      </c>
      <c r="B678" t="s">
        <v>115</v>
      </c>
      <c r="C678">
        <v>50</v>
      </c>
      <c r="D678">
        <v>46.7361982685835</v>
      </c>
    </row>
    <row r="679" spans="1:4" x14ac:dyDescent="0.25">
      <c r="A679">
        <v>1990</v>
      </c>
      <c r="B679" t="s">
        <v>115</v>
      </c>
      <c r="C679">
        <v>55</v>
      </c>
      <c r="D679">
        <v>57.098359457023001</v>
      </c>
    </row>
    <row r="680" spans="1:4" x14ac:dyDescent="0.25">
      <c r="A680">
        <v>1990</v>
      </c>
      <c r="B680" t="s">
        <v>115</v>
      </c>
      <c r="C680">
        <v>60</v>
      </c>
      <c r="D680">
        <v>53.089315244689502</v>
      </c>
    </row>
    <row r="681" spans="1:4" x14ac:dyDescent="0.25">
      <c r="A681">
        <v>1990</v>
      </c>
      <c r="B681" t="s">
        <v>115</v>
      </c>
      <c r="C681">
        <v>65</v>
      </c>
      <c r="D681">
        <v>42.672181027837098</v>
      </c>
    </row>
    <row r="682" spans="1:4" x14ac:dyDescent="0.25">
      <c r="A682">
        <v>1990</v>
      </c>
      <c r="B682" t="s">
        <v>115</v>
      </c>
      <c r="C682">
        <v>70</v>
      </c>
      <c r="D682">
        <v>29.623390535927101</v>
      </c>
    </row>
    <row r="683" spans="1:4" x14ac:dyDescent="0.25">
      <c r="A683">
        <v>1990</v>
      </c>
      <c r="B683" t="s">
        <v>115</v>
      </c>
      <c r="C683">
        <v>75</v>
      </c>
      <c r="D683">
        <v>36.576155166717498</v>
      </c>
    </row>
    <row r="684" spans="1:4" x14ac:dyDescent="0.25">
      <c r="A684">
        <v>1990</v>
      </c>
      <c r="B684" t="s">
        <v>115</v>
      </c>
      <c r="C684">
        <v>80</v>
      </c>
      <c r="D684">
        <v>28.448120685224701</v>
      </c>
    </row>
    <row r="685" spans="1:4" x14ac:dyDescent="0.25">
      <c r="A685">
        <v>1990</v>
      </c>
      <c r="B685" t="s">
        <v>115</v>
      </c>
      <c r="C685">
        <v>85</v>
      </c>
      <c r="D685">
        <v>34.064592511936198</v>
      </c>
    </row>
    <row r="686" spans="1:4" x14ac:dyDescent="0.25">
      <c r="A686">
        <v>1991</v>
      </c>
      <c r="B686" t="s">
        <v>115</v>
      </c>
      <c r="C686">
        <v>0</v>
      </c>
      <c r="D686">
        <v>61.131746384020602</v>
      </c>
    </row>
    <row r="687" spans="1:4" x14ac:dyDescent="0.25">
      <c r="A687">
        <v>1991</v>
      </c>
      <c r="B687" t="s">
        <v>115</v>
      </c>
      <c r="C687">
        <v>1</v>
      </c>
      <c r="D687">
        <v>82.355102122117103</v>
      </c>
    </row>
    <row r="688" spans="1:4" x14ac:dyDescent="0.25">
      <c r="A688">
        <v>1991</v>
      </c>
      <c r="B688" t="s">
        <v>115</v>
      </c>
      <c r="C688">
        <v>5</v>
      </c>
      <c r="D688">
        <v>62.138954732040503</v>
      </c>
    </row>
    <row r="689" spans="1:4" x14ac:dyDescent="0.25">
      <c r="A689">
        <v>1991</v>
      </c>
      <c r="B689" t="s">
        <v>115</v>
      </c>
      <c r="C689">
        <v>10</v>
      </c>
      <c r="D689">
        <v>73.245581422870501</v>
      </c>
    </row>
    <row r="690" spans="1:4" x14ac:dyDescent="0.25">
      <c r="A690">
        <v>1991</v>
      </c>
      <c r="B690" t="s">
        <v>115</v>
      </c>
      <c r="C690">
        <v>15</v>
      </c>
      <c r="D690">
        <v>204.13061385639801</v>
      </c>
    </row>
    <row r="691" spans="1:4" x14ac:dyDescent="0.25">
      <c r="A691">
        <v>1991</v>
      </c>
      <c r="B691" t="s">
        <v>115</v>
      </c>
      <c r="C691">
        <v>20</v>
      </c>
      <c r="D691">
        <v>170.397262115171</v>
      </c>
    </row>
    <row r="692" spans="1:4" x14ac:dyDescent="0.25">
      <c r="A692">
        <v>1991</v>
      </c>
      <c r="B692" t="s">
        <v>115</v>
      </c>
      <c r="C692">
        <v>25</v>
      </c>
      <c r="D692">
        <v>158.12533756712401</v>
      </c>
    </row>
    <row r="693" spans="1:4" x14ac:dyDescent="0.25">
      <c r="A693">
        <v>1991</v>
      </c>
      <c r="B693" t="s">
        <v>115</v>
      </c>
      <c r="C693">
        <v>30</v>
      </c>
      <c r="D693">
        <v>131.13769371407</v>
      </c>
    </row>
    <row r="694" spans="1:4" x14ac:dyDescent="0.25">
      <c r="A694">
        <v>1991</v>
      </c>
      <c r="B694" t="s">
        <v>115</v>
      </c>
      <c r="C694">
        <v>35</v>
      </c>
      <c r="D694">
        <v>122.500011457022</v>
      </c>
    </row>
    <row r="695" spans="1:4" x14ac:dyDescent="0.25">
      <c r="A695">
        <v>1991</v>
      </c>
      <c r="B695" t="s">
        <v>115</v>
      </c>
      <c r="C695">
        <v>40</v>
      </c>
      <c r="D695">
        <v>78.961661279827695</v>
      </c>
    </row>
    <row r="696" spans="1:4" x14ac:dyDescent="0.25">
      <c r="A696">
        <v>1991</v>
      </c>
      <c r="B696" t="s">
        <v>115</v>
      </c>
      <c r="C696">
        <v>45</v>
      </c>
      <c r="D696">
        <v>82.141192765955793</v>
      </c>
    </row>
    <row r="697" spans="1:4" x14ac:dyDescent="0.25">
      <c r="A697">
        <v>1991</v>
      </c>
      <c r="B697" t="s">
        <v>115</v>
      </c>
      <c r="C697">
        <v>50</v>
      </c>
      <c r="D697">
        <v>47.1276086784938</v>
      </c>
    </row>
    <row r="698" spans="1:4" x14ac:dyDescent="0.25">
      <c r="A698">
        <v>1991</v>
      </c>
      <c r="B698" t="s">
        <v>115</v>
      </c>
      <c r="C698">
        <v>55</v>
      </c>
      <c r="D698">
        <v>46.189430831083698</v>
      </c>
    </row>
    <row r="699" spans="1:4" x14ac:dyDescent="0.25">
      <c r="A699">
        <v>1991</v>
      </c>
      <c r="B699" t="s">
        <v>115</v>
      </c>
      <c r="C699">
        <v>60</v>
      </c>
      <c r="D699">
        <v>52.488760112438001</v>
      </c>
    </row>
    <row r="700" spans="1:4" x14ac:dyDescent="0.25">
      <c r="A700">
        <v>1991</v>
      </c>
      <c r="B700" t="s">
        <v>115</v>
      </c>
      <c r="C700">
        <v>65</v>
      </c>
      <c r="D700">
        <v>65.568846857034899</v>
      </c>
    </row>
    <row r="701" spans="1:4" x14ac:dyDescent="0.25">
      <c r="A701">
        <v>1991</v>
      </c>
      <c r="B701" t="s">
        <v>115</v>
      </c>
      <c r="C701">
        <v>70</v>
      </c>
      <c r="D701">
        <v>36.882476357082098</v>
      </c>
    </row>
    <row r="702" spans="1:4" x14ac:dyDescent="0.25">
      <c r="A702">
        <v>1991</v>
      </c>
      <c r="B702" t="s">
        <v>115</v>
      </c>
      <c r="C702">
        <v>75</v>
      </c>
      <c r="D702">
        <v>24.588317571388099</v>
      </c>
    </row>
    <row r="703" spans="1:4" x14ac:dyDescent="0.25">
      <c r="A703">
        <v>1991</v>
      </c>
      <c r="B703" t="s">
        <v>115</v>
      </c>
      <c r="C703">
        <v>80</v>
      </c>
      <c r="D703">
        <v>20.490264642823401</v>
      </c>
    </row>
    <row r="704" spans="1:4" x14ac:dyDescent="0.25">
      <c r="A704">
        <v>1991</v>
      </c>
      <c r="B704" t="s">
        <v>115</v>
      </c>
      <c r="C704">
        <v>85</v>
      </c>
      <c r="D704">
        <v>24.588317571388099</v>
      </c>
    </row>
    <row r="705" spans="1:4" x14ac:dyDescent="0.25">
      <c r="A705">
        <v>1992</v>
      </c>
      <c r="B705" t="s">
        <v>115</v>
      </c>
      <c r="C705">
        <v>0</v>
      </c>
      <c r="D705">
        <v>52.649125754712202</v>
      </c>
    </row>
    <row r="706" spans="1:4" x14ac:dyDescent="0.25">
      <c r="A706">
        <v>1992</v>
      </c>
      <c r="B706" t="s">
        <v>115</v>
      </c>
      <c r="C706">
        <v>1</v>
      </c>
      <c r="D706">
        <v>88.364614288506502</v>
      </c>
    </row>
    <row r="707" spans="1:4" x14ac:dyDescent="0.25">
      <c r="A707">
        <v>1992</v>
      </c>
      <c r="B707" t="s">
        <v>115</v>
      </c>
      <c r="C707">
        <v>5</v>
      </c>
      <c r="D707">
        <v>56.878372415590398</v>
      </c>
    </row>
    <row r="708" spans="1:4" x14ac:dyDescent="0.25">
      <c r="A708">
        <v>1992</v>
      </c>
      <c r="B708" t="s">
        <v>115</v>
      </c>
      <c r="C708">
        <v>10</v>
      </c>
      <c r="D708">
        <v>61.956798524125198</v>
      </c>
    </row>
    <row r="709" spans="1:4" x14ac:dyDescent="0.25">
      <c r="A709">
        <v>1992</v>
      </c>
      <c r="B709" t="s">
        <v>115</v>
      </c>
      <c r="C709">
        <v>15</v>
      </c>
      <c r="D709">
        <v>189.135349105129</v>
      </c>
    </row>
    <row r="710" spans="1:4" x14ac:dyDescent="0.25">
      <c r="A710">
        <v>1992</v>
      </c>
      <c r="B710" t="s">
        <v>115</v>
      </c>
      <c r="C710">
        <v>20</v>
      </c>
      <c r="D710">
        <v>225.55631537532099</v>
      </c>
    </row>
    <row r="711" spans="1:4" x14ac:dyDescent="0.25">
      <c r="A711">
        <v>1992</v>
      </c>
      <c r="B711" t="s">
        <v>115</v>
      </c>
      <c r="C711">
        <v>25</v>
      </c>
      <c r="D711">
        <v>171.65080246847799</v>
      </c>
    </row>
    <row r="712" spans="1:4" x14ac:dyDescent="0.25">
      <c r="A712">
        <v>1992</v>
      </c>
      <c r="B712" t="s">
        <v>115</v>
      </c>
      <c r="C712">
        <v>30</v>
      </c>
      <c r="D712">
        <v>146.32775963101199</v>
      </c>
    </row>
    <row r="713" spans="1:4" x14ac:dyDescent="0.25">
      <c r="A713">
        <v>1992</v>
      </c>
      <c r="B713" t="s">
        <v>115</v>
      </c>
      <c r="C713">
        <v>35</v>
      </c>
      <c r="D713">
        <v>135.40361071378899</v>
      </c>
    </row>
    <row r="714" spans="1:4" x14ac:dyDescent="0.25">
      <c r="A714">
        <v>1992</v>
      </c>
      <c r="B714" t="s">
        <v>115</v>
      </c>
      <c r="C714">
        <v>40</v>
      </c>
      <c r="D714">
        <v>113.017611677199</v>
      </c>
    </row>
    <row r="715" spans="1:4" x14ac:dyDescent="0.25">
      <c r="A715">
        <v>1992</v>
      </c>
      <c r="B715" t="s">
        <v>115</v>
      </c>
      <c r="C715">
        <v>45</v>
      </c>
      <c r="D715">
        <v>85.676412708026504</v>
      </c>
    </row>
    <row r="716" spans="1:4" x14ac:dyDescent="0.25">
      <c r="A716">
        <v>1992</v>
      </c>
      <c r="B716" t="s">
        <v>115</v>
      </c>
      <c r="C716">
        <v>50</v>
      </c>
      <c r="D716">
        <v>69.156760343797401</v>
      </c>
    </row>
    <row r="717" spans="1:4" x14ac:dyDescent="0.25">
      <c r="A717">
        <v>1992</v>
      </c>
      <c r="B717" t="s">
        <v>115</v>
      </c>
      <c r="C717">
        <v>55</v>
      </c>
      <c r="D717">
        <v>57.992684652011697</v>
      </c>
    </row>
    <row r="718" spans="1:4" x14ac:dyDescent="0.25">
      <c r="A718">
        <v>1992</v>
      </c>
      <c r="B718" t="s">
        <v>115</v>
      </c>
      <c r="C718">
        <v>60</v>
      </c>
      <c r="D718">
        <v>47.737205420227603</v>
      </c>
    </row>
    <row r="719" spans="1:4" x14ac:dyDescent="0.25">
      <c r="A719">
        <v>1992</v>
      </c>
      <c r="B719" t="s">
        <v>115</v>
      </c>
      <c r="C719">
        <v>65</v>
      </c>
      <c r="D719">
        <v>48.752890641934599</v>
      </c>
    </row>
    <row r="720" spans="1:4" x14ac:dyDescent="0.25">
      <c r="A720">
        <v>1992</v>
      </c>
      <c r="B720" t="s">
        <v>115</v>
      </c>
      <c r="C720">
        <v>70</v>
      </c>
      <c r="D720">
        <v>30.470556651209101</v>
      </c>
    </row>
    <row r="721" spans="1:4" x14ac:dyDescent="0.25">
      <c r="A721">
        <v>1992</v>
      </c>
      <c r="B721" t="s">
        <v>115</v>
      </c>
      <c r="C721">
        <v>75</v>
      </c>
      <c r="D721">
        <v>31.4862418729161</v>
      </c>
    </row>
    <row r="722" spans="1:4" x14ac:dyDescent="0.25">
      <c r="A722">
        <v>1992</v>
      </c>
      <c r="B722" t="s">
        <v>115</v>
      </c>
      <c r="C722">
        <v>80</v>
      </c>
      <c r="D722">
        <v>21.329389655846398</v>
      </c>
    </row>
    <row r="723" spans="1:4" x14ac:dyDescent="0.25">
      <c r="A723">
        <v>1992</v>
      </c>
      <c r="B723" t="s">
        <v>115</v>
      </c>
      <c r="C723">
        <v>85</v>
      </c>
      <c r="D723">
        <v>23.3607600992603</v>
      </c>
    </row>
    <row r="724" spans="1:4" x14ac:dyDescent="0.25">
      <c r="A724">
        <v>1993</v>
      </c>
      <c r="B724" t="s">
        <v>115</v>
      </c>
      <c r="C724">
        <v>0</v>
      </c>
      <c r="D724">
        <v>45.324525160564299</v>
      </c>
    </row>
    <row r="725" spans="1:4" x14ac:dyDescent="0.25">
      <c r="A725">
        <v>1993</v>
      </c>
      <c r="B725" t="s">
        <v>115</v>
      </c>
      <c r="C725">
        <v>1</v>
      </c>
      <c r="D725">
        <v>92.939403334306206</v>
      </c>
    </row>
    <row r="726" spans="1:4" x14ac:dyDescent="0.25">
      <c r="A726">
        <v>1993</v>
      </c>
      <c r="B726" t="s">
        <v>115</v>
      </c>
      <c r="C726">
        <v>5</v>
      </c>
      <c r="D726">
        <v>58.932328335734802</v>
      </c>
    </row>
    <row r="727" spans="1:4" x14ac:dyDescent="0.25">
      <c r="A727">
        <v>1993</v>
      </c>
      <c r="B727" t="s">
        <v>115</v>
      </c>
      <c r="C727">
        <v>10</v>
      </c>
      <c r="D727">
        <v>54.868029829821999</v>
      </c>
    </row>
    <row r="728" spans="1:4" x14ac:dyDescent="0.25">
      <c r="A728">
        <v>1993</v>
      </c>
      <c r="B728" t="s">
        <v>115</v>
      </c>
      <c r="C728">
        <v>15</v>
      </c>
      <c r="D728">
        <v>169.78824516780301</v>
      </c>
    </row>
    <row r="729" spans="1:4" x14ac:dyDescent="0.25">
      <c r="A729">
        <v>1993</v>
      </c>
      <c r="B729" t="s">
        <v>115</v>
      </c>
      <c r="C729">
        <v>20</v>
      </c>
      <c r="D729">
        <v>186.009051229287</v>
      </c>
    </row>
    <row r="730" spans="1:4" x14ac:dyDescent="0.25">
      <c r="A730">
        <v>1993</v>
      </c>
      <c r="B730" t="s">
        <v>115</v>
      </c>
      <c r="C730">
        <v>25</v>
      </c>
      <c r="D730">
        <v>173.81792862821899</v>
      </c>
    </row>
    <row r="731" spans="1:4" x14ac:dyDescent="0.25">
      <c r="A731">
        <v>1993</v>
      </c>
      <c r="B731" t="s">
        <v>115</v>
      </c>
      <c r="C731">
        <v>30</v>
      </c>
      <c r="D731">
        <v>149.517510154468</v>
      </c>
    </row>
    <row r="732" spans="1:4" x14ac:dyDescent="0.25">
      <c r="A732">
        <v>1993</v>
      </c>
      <c r="B732" t="s">
        <v>115</v>
      </c>
      <c r="C732">
        <v>35</v>
      </c>
      <c r="D732">
        <v>123.96110443033901</v>
      </c>
    </row>
    <row r="733" spans="1:4" x14ac:dyDescent="0.25">
      <c r="A733">
        <v>1993</v>
      </c>
      <c r="B733" t="s">
        <v>115</v>
      </c>
      <c r="C733">
        <v>40</v>
      </c>
      <c r="D733">
        <v>92.623177463998005</v>
      </c>
    </row>
    <row r="734" spans="1:4" x14ac:dyDescent="0.25">
      <c r="A734">
        <v>1993</v>
      </c>
      <c r="B734" t="s">
        <v>115</v>
      </c>
      <c r="C734">
        <v>45</v>
      </c>
      <c r="D734">
        <v>77.221671612342107</v>
      </c>
    </row>
    <row r="735" spans="1:4" x14ac:dyDescent="0.25">
      <c r="A735">
        <v>1993</v>
      </c>
      <c r="B735" t="s">
        <v>115</v>
      </c>
      <c r="C735">
        <v>50</v>
      </c>
      <c r="D735">
        <v>66.139065914692694</v>
      </c>
    </row>
    <row r="736" spans="1:4" x14ac:dyDescent="0.25">
      <c r="A736">
        <v>1993</v>
      </c>
      <c r="B736" t="s">
        <v>115</v>
      </c>
      <c r="C736">
        <v>55</v>
      </c>
      <c r="D736">
        <v>65.028776094603899</v>
      </c>
    </row>
    <row r="737" spans="1:4" x14ac:dyDescent="0.25">
      <c r="A737">
        <v>1993</v>
      </c>
      <c r="B737" t="s">
        <v>115</v>
      </c>
      <c r="C737">
        <v>60</v>
      </c>
      <c r="D737">
        <v>54.868029829821999</v>
      </c>
    </row>
    <row r="738" spans="1:4" x14ac:dyDescent="0.25">
      <c r="A738">
        <v>1993</v>
      </c>
      <c r="B738" t="s">
        <v>115</v>
      </c>
      <c r="C738">
        <v>65</v>
      </c>
      <c r="D738">
        <v>32.5143880473019</v>
      </c>
    </row>
    <row r="739" spans="1:4" x14ac:dyDescent="0.25">
      <c r="A739">
        <v>1993</v>
      </c>
      <c r="B739" t="s">
        <v>115</v>
      </c>
      <c r="C739">
        <v>70</v>
      </c>
      <c r="D739">
        <v>47.755507444474702</v>
      </c>
    </row>
    <row r="740" spans="1:4" x14ac:dyDescent="0.25">
      <c r="A740">
        <v>1993</v>
      </c>
      <c r="B740" t="s">
        <v>115</v>
      </c>
      <c r="C740">
        <v>75</v>
      </c>
      <c r="D740">
        <v>27.859348479483302</v>
      </c>
    </row>
    <row r="741" spans="1:4" x14ac:dyDescent="0.25">
      <c r="A741">
        <v>1993</v>
      </c>
      <c r="B741" t="s">
        <v>115</v>
      </c>
      <c r="C741">
        <v>80</v>
      </c>
      <c r="D741">
        <v>15.241119397172801</v>
      </c>
    </row>
    <row r="742" spans="1:4" x14ac:dyDescent="0.25">
      <c r="A742">
        <v>1993</v>
      </c>
      <c r="B742" t="s">
        <v>115</v>
      </c>
      <c r="C742">
        <v>85</v>
      </c>
      <c r="D742">
        <v>27.434014914911</v>
      </c>
    </row>
    <row r="743" spans="1:4" x14ac:dyDescent="0.25">
      <c r="A743">
        <v>1994</v>
      </c>
      <c r="B743" t="s">
        <v>115</v>
      </c>
      <c r="C743">
        <v>0</v>
      </c>
      <c r="D743">
        <v>55.367758509021002</v>
      </c>
    </row>
    <row r="744" spans="1:4" x14ac:dyDescent="0.25">
      <c r="A744">
        <v>1994</v>
      </c>
      <c r="B744" t="s">
        <v>115</v>
      </c>
      <c r="C744">
        <v>1</v>
      </c>
      <c r="D744">
        <v>84.918426011866899</v>
      </c>
    </row>
    <row r="745" spans="1:4" x14ac:dyDescent="0.25">
      <c r="A745">
        <v>1994</v>
      </c>
      <c r="B745" t="s">
        <v>115</v>
      </c>
      <c r="C745">
        <v>5</v>
      </c>
      <c r="D745">
        <v>45.565984689294403</v>
      </c>
    </row>
    <row r="746" spans="1:4" x14ac:dyDescent="0.25">
      <c r="A746">
        <v>1994</v>
      </c>
      <c r="B746" t="s">
        <v>115</v>
      </c>
      <c r="C746">
        <v>10</v>
      </c>
      <c r="D746">
        <v>79.740473206265193</v>
      </c>
    </row>
    <row r="747" spans="1:4" x14ac:dyDescent="0.25">
      <c r="A747">
        <v>1994</v>
      </c>
      <c r="B747" t="s">
        <v>115</v>
      </c>
      <c r="C747">
        <v>15</v>
      </c>
      <c r="D747">
        <v>176.050395390456</v>
      </c>
    </row>
    <row r="748" spans="1:4" x14ac:dyDescent="0.25">
      <c r="A748">
        <v>1994</v>
      </c>
      <c r="B748" t="s">
        <v>115</v>
      </c>
      <c r="C748">
        <v>20</v>
      </c>
      <c r="D748">
        <v>175.01480482933499</v>
      </c>
    </row>
    <row r="749" spans="1:4" x14ac:dyDescent="0.25">
      <c r="A749">
        <v>1994</v>
      </c>
      <c r="B749" t="s">
        <v>115</v>
      </c>
      <c r="C749">
        <v>25</v>
      </c>
      <c r="D749">
        <v>135.662363506763</v>
      </c>
    </row>
    <row r="750" spans="1:4" x14ac:dyDescent="0.25">
      <c r="A750">
        <v>1994</v>
      </c>
      <c r="B750" t="s">
        <v>115</v>
      </c>
      <c r="C750">
        <v>30</v>
      </c>
      <c r="D750">
        <v>136.69795406788299</v>
      </c>
    </row>
    <row r="751" spans="1:4" x14ac:dyDescent="0.25">
      <c r="A751">
        <v>1994</v>
      </c>
      <c r="B751" t="s">
        <v>115</v>
      </c>
      <c r="C751">
        <v>35</v>
      </c>
      <c r="D751">
        <v>115.986142845477</v>
      </c>
    </row>
    <row r="752" spans="1:4" x14ac:dyDescent="0.25">
      <c r="A752">
        <v>1994</v>
      </c>
      <c r="B752" t="s">
        <v>115</v>
      </c>
      <c r="C752">
        <v>40</v>
      </c>
      <c r="D752">
        <v>102.52346555091199</v>
      </c>
    </row>
    <row r="753" spans="1:4" x14ac:dyDescent="0.25">
      <c r="A753">
        <v>1994</v>
      </c>
      <c r="B753" t="s">
        <v>115</v>
      </c>
      <c r="C753">
        <v>45</v>
      </c>
      <c r="D753">
        <v>75.598110961784002</v>
      </c>
    </row>
    <row r="754" spans="1:4" x14ac:dyDescent="0.25">
      <c r="A754">
        <v>1994</v>
      </c>
      <c r="B754" t="s">
        <v>115</v>
      </c>
      <c r="C754">
        <v>50</v>
      </c>
      <c r="D754">
        <v>52.815118617136697</v>
      </c>
    </row>
    <row r="755" spans="1:4" x14ac:dyDescent="0.25">
      <c r="A755">
        <v>1994</v>
      </c>
      <c r="B755" t="s">
        <v>115</v>
      </c>
      <c r="C755">
        <v>55</v>
      </c>
      <c r="D755">
        <v>66.277795911701006</v>
      </c>
    </row>
    <row r="756" spans="1:4" x14ac:dyDescent="0.25">
      <c r="A756">
        <v>1994</v>
      </c>
      <c r="B756" t="s">
        <v>115</v>
      </c>
      <c r="C756">
        <v>60</v>
      </c>
      <c r="D756">
        <v>39.352441322572503</v>
      </c>
    </row>
    <row r="757" spans="1:4" x14ac:dyDescent="0.25">
      <c r="A757">
        <v>1994</v>
      </c>
      <c r="B757" t="s">
        <v>115</v>
      </c>
      <c r="C757">
        <v>65</v>
      </c>
      <c r="D757">
        <v>26.925354589128499</v>
      </c>
    </row>
    <row r="758" spans="1:4" x14ac:dyDescent="0.25">
      <c r="A758">
        <v>1994</v>
      </c>
      <c r="B758" t="s">
        <v>115</v>
      </c>
      <c r="C758">
        <v>70</v>
      </c>
      <c r="D758">
        <v>34.174488516970797</v>
      </c>
    </row>
    <row r="759" spans="1:4" x14ac:dyDescent="0.25">
      <c r="A759">
        <v>1994</v>
      </c>
      <c r="B759" t="s">
        <v>115</v>
      </c>
      <c r="C759">
        <v>75</v>
      </c>
      <c r="D759">
        <v>32.103307394730201</v>
      </c>
    </row>
    <row r="760" spans="1:4" x14ac:dyDescent="0.25">
      <c r="A760">
        <v>1994</v>
      </c>
      <c r="B760" t="s">
        <v>115</v>
      </c>
      <c r="C760">
        <v>80</v>
      </c>
      <c r="D760">
        <v>26.925354589128499</v>
      </c>
    </row>
    <row r="761" spans="1:4" x14ac:dyDescent="0.25">
      <c r="A761">
        <v>1994</v>
      </c>
      <c r="B761" t="s">
        <v>115</v>
      </c>
      <c r="C761">
        <v>85</v>
      </c>
      <c r="D761">
        <v>14.498267855684601</v>
      </c>
    </row>
    <row r="762" spans="1:4" x14ac:dyDescent="0.25">
      <c r="A762">
        <v>1995</v>
      </c>
      <c r="B762" t="s">
        <v>115</v>
      </c>
      <c r="C762">
        <v>0</v>
      </c>
      <c r="D762">
        <v>68.604795173649606</v>
      </c>
    </row>
    <row r="763" spans="1:4" x14ac:dyDescent="0.25">
      <c r="A763">
        <v>1995</v>
      </c>
      <c r="B763" t="s">
        <v>115</v>
      </c>
      <c r="C763">
        <v>1</v>
      </c>
      <c r="D763">
        <v>62.582039621019298</v>
      </c>
    </row>
    <row r="764" spans="1:4" x14ac:dyDescent="0.25">
      <c r="A764">
        <v>1995</v>
      </c>
      <c r="B764" t="s">
        <v>115</v>
      </c>
      <c r="C764">
        <v>5</v>
      </c>
      <c r="D764">
        <v>46.167078408948697</v>
      </c>
    </row>
    <row r="765" spans="1:4" x14ac:dyDescent="0.25">
      <c r="A765">
        <v>1995</v>
      </c>
      <c r="B765" t="s">
        <v>115</v>
      </c>
      <c r="C765">
        <v>10</v>
      </c>
      <c r="D765">
        <v>73.867325454317907</v>
      </c>
    </row>
    <row r="766" spans="1:4" x14ac:dyDescent="0.25">
      <c r="A766">
        <v>1995</v>
      </c>
      <c r="B766" t="s">
        <v>115</v>
      </c>
      <c r="C766">
        <v>15</v>
      </c>
      <c r="D766">
        <v>179.65499511914601</v>
      </c>
    </row>
    <row r="767" spans="1:4" x14ac:dyDescent="0.25">
      <c r="A767">
        <v>1995</v>
      </c>
      <c r="B767" t="s">
        <v>115</v>
      </c>
      <c r="C767">
        <v>20</v>
      </c>
      <c r="D767">
        <v>200.05733977211099</v>
      </c>
    </row>
    <row r="768" spans="1:4" x14ac:dyDescent="0.25">
      <c r="A768">
        <v>1995</v>
      </c>
      <c r="B768" t="s">
        <v>115</v>
      </c>
      <c r="C768">
        <v>25</v>
      </c>
      <c r="D768">
        <v>166.26896155856201</v>
      </c>
    </row>
    <row r="769" spans="1:4" x14ac:dyDescent="0.25">
      <c r="A769">
        <v>1995</v>
      </c>
      <c r="B769" t="s">
        <v>115</v>
      </c>
      <c r="C769">
        <v>30</v>
      </c>
      <c r="D769">
        <v>130.36414562816901</v>
      </c>
    </row>
    <row r="770" spans="1:4" x14ac:dyDescent="0.25">
      <c r="A770">
        <v>1995</v>
      </c>
      <c r="B770" t="s">
        <v>115</v>
      </c>
      <c r="C770">
        <v>35</v>
      </c>
      <c r="D770">
        <v>133.53500538710301</v>
      </c>
    </row>
    <row r="771" spans="1:4" x14ac:dyDescent="0.25">
      <c r="A771">
        <v>1995</v>
      </c>
      <c r="B771" t="s">
        <v>115</v>
      </c>
      <c r="C771">
        <v>40</v>
      </c>
      <c r="D771">
        <v>105.76109301749</v>
      </c>
    </row>
    <row r="772" spans="1:4" x14ac:dyDescent="0.25">
      <c r="A772">
        <v>1995</v>
      </c>
      <c r="B772" t="s">
        <v>115</v>
      </c>
      <c r="C772">
        <v>45</v>
      </c>
      <c r="D772">
        <v>72.921523921334199</v>
      </c>
    </row>
    <row r="773" spans="1:4" x14ac:dyDescent="0.25">
      <c r="A773">
        <v>1995</v>
      </c>
      <c r="B773" t="s">
        <v>115</v>
      </c>
      <c r="C773">
        <v>50</v>
      </c>
      <c r="D773">
        <v>55.400494090738398</v>
      </c>
    </row>
    <row r="774" spans="1:4" x14ac:dyDescent="0.25">
      <c r="A774">
        <v>1995</v>
      </c>
      <c r="B774" t="s">
        <v>115</v>
      </c>
      <c r="C774">
        <v>55</v>
      </c>
      <c r="D774">
        <v>65.659844848282603</v>
      </c>
    </row>
    <row r="775" spans="1:4" x14ac:dyDescent="0.25">
      <c r="A775">
        <v>1995</v>
      </c>
      <c r="B775" t="s">
        <v>115</v>
      </c>
      <c r="C775">
        <v>60</v>
      </c>
      <c r="D775">
        <v>28.7261821211236</v>
      </c>
    </row>
    <row r="776" spans="1:4" x14ac:dyDescent="0.25">
      <c r="A776">
        <v>1995</v>
      </c>
      <c r="B776" t="s">
        <v>115</v>
      </c>
      <c r="C776">
        <v>65</v>
      </c>
      <c r="D776">
        <v>36.933662727159003</v>
      </c>
    </row>
    <row r="777" spans="1:4" x14ac:dyDescent="0.25">
      <c r="A777">
        <v>1995</v>
      </c>
      <c r="B777" t="s">
        <v>115</v>
      </c>
      <c r="C777">
        <v>70</v>
      </c>
      <c r="D777">
        <v>30.7780522726325</v>
      </c>
    </row>
    <row r="778" spans="1:4" x14ac:dyDescent="0.25">
      <c r="A778">
        <v>1995</v>
      </c>
      <c r="B778" t="s">
        <v>115</v>
      </c>
      <c r="C778">
        <v>75</v>
      </c>
      <c r="D778">
        <v>25.648376893860402</v>
      </c>
    </row>
    <row r="779" spans="1:4" x14ac:dyDescent="0.25">
      <c r="A779">
        <v>1995</v>
      </c>
      <c r="B779" t="s">
        <v>115</v>
      </c>
      <c r="C779">
        <v>80</v>
      </c>
      <c r="D779">
        <v>17.440896287825101</v>
      </c>
    </row>
    <row r="780" spans="1:4" x14ac:dyDescent="0.25">
      <c r="A780">
        <v>1995</v>
      </c>
      <c r="B780" t="s">
        <v>115</v>
      </c>
      <c r="C780">
        <v>85</v>
      </c>
      <c r="D780">
        <v>26.674311969614799</v>
      </c>
    </row>
    <row r="781" spans="1:4" x14ac:dyDescent="0.25">
      <c r="A781">
        <v>1996</v>
      </c>
      <c r="B781" t="s">
        <v>115</v>
      </c>
      <c r="C781">
        <v>0</v>
      </c>
      <c r="D781">
        <v>60.784504185375098</v>
      </c>
    </row>
    <row r="782" spans="1:4" x14ac:dyDescent="0.25">
      <c r="A782">
        <v>1996</v>
      </c>
      <c r="B782" t="s">
        <v>115</v>
      </c>
      <c r="C782">
        <v>1</v>
      </c>
      <c r="D782">
        <v>75.652963287584498</v>
      </c>
    </row>
    <row r="783" spans="1:4" x14ac:dyDescent="0.25">
      <c r="A783">
        <v>1996</v>
      </c>
      <c r="B783" t="s">
        <v>115</v>
      </c>
      <c r="C783">
        <v>5</v>
      </c>
      <c r="D783">
        <v>43.270325013317901</v>
      </c>
    </row>
    <row r="784" spans="1:4" x14ac:dyDescent="0.25">
      <c r="A784">
        <v>1996</v>
      </c>
      <c r="B784" t="s">
        <v>115</v>
      </c>
      <c r="C784">
        <v>10</v>
      </c>
      <c r="D784">
        <v>57.6937666844238</v>
      </c>
    </row>
    <row r="785" spans="1:4" x14ac:dyDescent="0.25">
      <c r="A785">
        <v>1996</v>
      </c>
      <c r="B785" t="s">
        <v>115</v>
      </c>
      <c r="C785">
        <v>15</v>
      </c>
      <c r="D785">
        <v>178.467819689143</v>
      </c>
    </row>
    <row r="786" spans="1:4" x14ac:dyDescent="0.25">
      <c r="A786">
        <v>1996</v>
      </c>
      <c r="B786" t="s">
        <v>115</v>
      </c>
      <c r="C786">
        <v>20</v>
      </c>
      <c r="D786">
        <v>168.96031671866999</v>
      </c>
    </row>
    <row r="787" spans="1:4" x14ac:dyDescent="0.25">
      <c r="A787">
        <v>1996</v>
      </c>
      <c r="B787" t="s">
        <v>115</v>
      </c>
      <c r="C787">
        <v>25</v>
      </c>
      <c r="D787">
        <v>161.74859588311699</v>
      </c>
    </row>
    <row r="788" spans="1:4" x14ac:dyDescent="0.25">
      <c r="A788">
        <v>1996</v>
      </c>
      <c r="B788" t="s">
        <v>115</v>
      </c>
      <c r="C788">
        <v>30</v>
      </c>
      <c r="D788">
        <v>133.93195837455499</v>
      </c>
    </row>
    <row r="789" spans="1:4" x14ac:dyDescent="0.25">
      <c r="A789">
        <v>1996</v>
      </c>
      <c r="B789" t="s">
        <v>115</v>
      </c>
      <c r="C789">
        <v>35</v>
      </c>
      <c r="D789">
        <v>130.84122087360399</v>
      </c>
    </row>
    <row r="790" spans="1:4" x14ac:dyDescent="0.25">
      <c r="A790">
        <v>1996</v>
      </c>
      <c r="B790" t="s">
        <v>115</v>
      </c>
      <c r="C790">
        <v>40</v>
      </c>
      <c r="D790">
        <v>111.26655003424599</v>
      </c>
    </row>
    <row r="791" spans="1:4" x14ac:dyDescent="0.25">
      <c r="A791">
        <v>1996</v>
      </c>
      <c r="B791" t="s">
        <v>115</v>
      </c>
      <c r="C791">
        <v>45</v>
      </c>
      <c r="D791">
        <v>82.508099810802307</v>
      </c>
    </row>
    <row r="792" spans="1:4" x14ac:dyDescent="0.25">
      <c r="A792">
        <v>1996</v>
      </c>
      <c r="B792" t="s">
        <v>115</v>
      </c>
      <c r="C792">
        <v>50</v>
      </c>
      <c r="D792">
        <v>59.851577990734</v>
      </c>
    </row>
    <row r="793" spans="1:4" x14ac:dyDescent="0.25">
      <c r="A793">
        <v>1996</v>
      </c>
      <c r="B793" t="s">
        <v>115</v>
      </c>
      <c r="C793">
        <v>55</v>
      </c>
      <c r="D793">
        <v>49.4518000152204</v>
      </c>
    </row>
    <row r="794" spans="1:4" x14ac:dyDescent="0.25">
      <c r="A794">
        <v>1996</v>
      </c>
      <c r="B794" t="s">
        <v>115</v>
      </c>
      <c r="C794">
        <v>60</v>
      </c>
      <c r="D794">
        <v>38.119095845065701</v>
      </c>
    </row>
    <row r="795" spans="1:4" x14ac:dyDescent="0.25">
      <c r="A795">
        <v>1996</v>
      </c>
      <c r="B795" t="s">
        <v>115</v>
      </c>
      <c r="C795">
        <v>65</v>
      </c>
      <c r="D795">
        <v>42.240079179667397</v>
      </c>
    </row>
    <row r="796" spans="1:4" x14ac:dyDescent="0.25">
      <c r="A796">
        <v>1996</v>
      </c>
      <c r="B796" t="s">
        <v>115</v>
      </c>
      <c r="C796">
        <v>70</v>
      </c>
      <c r="D796">
        <v>29.877129175862301</v>
      </c>
    </row>
    <row r="797" spans="1:4" x14ac:dyDescent="0.25">
      <c r="A797">
        <v>1996</v>
      </c>
      <c r="B797" t="s">
        <v>115</v>
      </c>
      <c r="C797">
        <v>75</v>
      </c>
      <c r="D797">
        <v>22.665408340309401</v>
      </c>
    </row>
    <row r="798" spans="1:4" x14ac:dyDescent="0.25">
      <c r="A798">
        <v>1996</v>
      </c>
      <c r="B798" t="s">
        <v>115</v>
      </c>
      <c r="C798">
        <v>80</v>
      </c>
      <c r="D798">
        <v>19.574670839358099</v>
      </c>
    </row>
    <row r="799" spans="1:4" x14ac:dyDescent="0.25">
      <c r="A799">
        <v>1996</v>
      </c>
      <c r="B799" t="s">
        <v>115</v>
      </c>
      <c r="C799">
        <v>85</v>
      </c>
      <c r="D799">
        <v>16.4839333384068</v>
      </c>
    </row>
    <row r="800" spans="1:4" x14ac:dyDescent="0.25">
      <c r="A800">
        <v>1997</v>
      </c>
      <c r="B800" t="s">
        <v>115</v>
      </c>
      <c r="C800">
        <v>0</v>
      </c>
      <c r="D800">
        <v>55.795932817315602</v>
      </c>
    </row>
    <row r="801" spans="1:4" x14ac:dyDescent="0.25">
      <c r="A801">
        <v>1997</v>
      </c>
      <c r="B801" t="s">
        <v>115</v>
      </c>
      <c r="C801">
        <v>1</v>
      </c>
      <c r="D801">
        <v>52.208231375872998</v>
      </c>
    </row>
    <row r="802" spans="1:4" x14ac:dyDescent="0.25">
      <c r="A802">
        <v>1997</v>
      </c>
      <c r="B802" t="s">
        <v>115</v>
      </c>
      <c r="C802">
        <v>5</v>
      </c>
      <c r="D802">
        <v>38.900250829081898</v>
      </c>
    </row>
    <row r="803" spans="1:4" x14ac:dyDescent="0.25">
      <c r="A803">
        <v>1997</v>
      </c>
      <c r="B803" t="s">
        <v>115</v>
      </c>
      <c r="C803">
        <v>10</v>
      </c>
      <c r="D803">
        <v>56.302994621039502</v>
      </c>
    </row>
    <row r="804" spans="1:4" x14ac:dyDescent="0.25">
      <c r="A804">
        <v>1997</v>
      </c>
      <c r="B804" t="s">
        <v>115</v>
      </c>
      <c r="C804">
        <v>15</v>
      </c>
      <c r="D804">
        <v>186.311727655076</v>
      </c>
    </row>
    <row r="805" spans="1:4" x14ac:dyDescent="0.25">
      <c r="A805">
        <v>1997</v>
      </c>
      <c r="B805" t="s">
        <v>115</v>
      </c>
      <c r="C805">
        <v>20</v>
      </c>
      <c r="D805">
        <v>175.129067790855</v>
      </c>
    </row>
    <row r="806" spans="1:4" x14ac:dyDescent="0.25">
      <c r="A806">
        <v>1997</v>
      </c>
      <c r="B806" t="s">
        <v>115</v>
      </c>
      <c r="C806">
        <v>25</v>
      </c>
      <c r="D806">
        <v>122.842897354995</v>
      </c>
    </row>
    <row r="807" spans="1:4" x14ac:dyDescent="0.25">
      <c r="A807">
        <v>1997</v>
      </c>
      <c r="B807" t="s">
        <v>115</v>
      </c>
      <c r="C807">
        <v>30</v>
      </c>
      <c r="D807">
        <v>144.34040439212001</v>
      </c>
    </row>
    <row r="808" spans="1:4" x14ac:dyDescent="0.25">
      <c r="A808">
        <v>1997</v>
      </c>
      <c r="B808" t="s">
        <v>115</v>
      </c>
      <c r="C808">
        <v>35</v>
      </c>
      <c r="D808">
        <v>128.98504222274499</v>
      </c>
    </row>
    <row r="809" spans="1:4" x14ac:dyDescent="0.25">
      <c r="A809">
        <v>1997</v>
      </c>
      <c r="B809" t="s">
        <v>115</v>
      </c>
      <c r="C809">
        <v>40</v>
      </c>
      <c r="D809">
        <v>81.973186182971801</v>
      </c>
    </row>
    <row r="810" spans="1:4" x14ac:dyDescent="0.25">
      <c r="A810">
        <v>1997</v>
      </c>
      <c r="B810" t="s">
        <v>115</v>
      </c>
      <c r="C810">
        <v>45</v>
      </c>
      <c r="D810">
        <v>60.473729888679301</v>
      </c>
    </row>
    <row r="811" spans="1:4" x14ac:dyDescent="0.25">
      <c r="A811">
        <v>1997</v>
      </c>
      <c r="B811" t="s">
        <v>115</v>
      </c>
      <c r="C811">
        <v>50</v>
      </c>
      <c r="D811">
        <v>41.971323262956702</v>
      </c>
    </row>
    <row r="812" spans="1:4" x14ac:dyDescent="0.25">
      <c r="A812">
        <v>1997</v>
      </c>
      <c r="B812" t="s">
        <v>115</v>
      </c>
      <c r="C812">
        <v>55</v>
      </c>
      <c r="D812">
        <v>44.018704885539996</v>
      </c>
    </row>
    <row r="813" spans="1:4" x14ac:dyDescent="0.25">
      <c r="A813">
        <v>1997</v>
      </c>
      <c r="B813" t="s">
        <v>115</v>
      </c>
      <c r="C813">
        <v>60</v>
      </c>
      <c r="D813">
        <v>37.876560017790197</v>
      </c>
    </row>
    <row r="814" spans="1:4" x14ac:dyDescent="0.25">
      <c r="A814">
        <v>1997</v>
      </c>
      <c r="B814" t="s">
        <v>115</v>
      </c>
      <c r="C814">
        <v>65</v>
      </c>
      <c r="D814">
        <v>31.734415150040501</v>
      </c>
    </row>
    <row r="815" spans="1:4" x14ac:dyDescent="0.25">
      <c r="A815">
        <v>1997</v>
      </c>
      <c r="B815" t="s">
        <v>115</v>
      </c>
      <c r="C815">
        <v>70</v>
      </c>
      <c r="D815">
        <v>17.4027437919577</v>
      </c>
    </row>
    <row r="816" spans="1:4" x14ac:dyDescent="0.25">
      <c r="A816">
        <v>1997</v>
      </c>
      <c r="B816" t="s">
        <v>115</v>
      </c>
      <c r="C816">
        <v>75</v>
      </c>
      <c r="D816">
        <v>28.663342716165602</v>
      </c>
    </row>
    <row r="817" spans="1:4" x14ac:dyDescent="0.25">
      <c r="A817">
        <v>1997</v>
      </c>
      <c r="B817" t="s">
        <v>115</v>
      </c>
      <c r="C817">
        <v>80</v>
      </c>
      <c r="D817">
        <v>16.379052980666</v>
      </c>
    </row>
    <row r="818" spans="1:4" x14ac:dyDescent="0.25">
      <c r="A818">
        <v>1997</v>
      </c>
      <c r="B818" t="s">
        <v>115</v>
      </c>
      <c r="C818">
        <v>85</v>
      </c>
      <c r="D818">
        <v>29.0172111447602</v>
      </c>
    </row>
    <row r="819" spans="1:4" x14ac:dyDescent="0.25">
      <c r="A819">
        <v>1998</v>
      </c>
      <c r="B819" t="s">
        <v>115</v>
      </c>
      <c r="C819">
        <v>0</v>
      </c>
      <c r="D819">
        <v>43.566744494354602</v>
      </c>
    </row>
    <row r="820" spans="1:4" x14ac:dyDescent="0.25">
      <c r="A820">
        <v>1998</v>
      </c>
      <c r="B820" t="s">
        <v>115</v>
      </c>
      <c r="C820">
        <v>1</v>
      </c>
      <c r="D820">
        <v>61.5059922273241</v>
      </c>
    </row>
    <row r="821" spans="1:4" x14ac:dyDescent="0.25">
      <c r="A821">
        <v>1998</v>
      </c>
      <c r="B821" t="s">
        <v>115</v>
      </c>
      <c r="C821">
        <v>5</v>
      </c>
      <c r="D821">
        <v>38.953795077305202</v>
      </c>
    </row>
    <row r="822" spans="1:4" x14ac:dyDescent="0.25">
      <c r="A822">
        <v>1998</v>
      </c>
      <c r="B822" t="s">
        <v>115</v>
      </c>
      <c r="C822">
        <v>10</v>
      </c>
      <c r="D822">
        <v>66.631491579601104</v>
      </c>
    </row>
    <row r="823" spans="1:4" x14ac:dyDescent="0.25">
      <c r="A823">
        <v>1998</v>
      </c>
      <c r="B823" t="s">
        <v>115</v>
      </c>
      <c r="C823">
        <v>15</v>
      </c>
      <c r="D823">
        <v>150.68968095694399</v>
      </c>
    </row>
    <row r="824" spans="1:4" x14ac:dyDescent="0.25">
      <c r="A824">
        <v>1998</v>
      </c>
      <c r="B824" t="s">
        <v>115</v>
      </c>
      <c r="C824">
        <v>20</v>
      </c>
      <c r="D824">
        <v>207.07017383199101</v>
      </c>
    </row>
    <row r="825" spans="1:4" x14ac:dyDescent="0.25">
      <c r="A825">
        <v>1998</v>
      </c>
      <c r="B825" t="s">
        <v>115</v>
      </c>
      <c r="C825">
        <v>25</v>
      </c>
      <c r="D825">
        <v>164.09556004883399</v>
      </c>
    </row>
    <row r="826" spans="1:4" x14ac:dyDescent="0.25">
      <c r="A826">
        <v>1998</v>
      </c>
      <c r="B826" t="s">
        <v>115</v>
      </c>
      <c r="C826">
        <v>30</v>
      </c>
      <c r="D826">
        <v>137.363382641024</v>
      </c>
    </row>
    <row r="827" spans="1:4" x14ac:dyDescent="0.25">
      <c r="A827">
        <v>1998</v>
      </c>
      <c r="B827" t="s">
        <v>115</v>
      </c>
      <c r="C827">
        <v>35</v>
      </c>
      <c r="D827">
        <v>112.76098575009399</v>
      </c>
    </row>
    <row r="828" spans="1:4" x14ac:dyDescent="0.25">
      <c r="A828">
        <v>1998</v>
      </c>
      <c r="B828" t="s">
        <v>115</v>
      </c>
      <c r="C828">
        <v>40</v>
      </c>
      <c r="D828">
        <v>105.58528665690601</v>
      </c>
    </row>
    <row r="829" spans="1:4" x14ac:dyDescent="0.25">
      <c r="A829">
        <v>1998</v>
      </c>
      <c r="B829" t="s">
        <v>115</v>
      </c>
      <c r="C829">
        <v>45</v>
      </c>
      <c r="D829">
        <v>91.233888470530701</v>
      </c>
    </row>
    <row r="830" spans="1:4" x14ac:dyDescent="0.25">
      <c r="A830">
        <v>1998</v>
      </c>
      <c r="B830" t="s">
        <v>115</v>
      </c>
      <c r="C830">
        <v>50</v>
      </c>
      <c r="D830">
        <v>68.795214777240005</v>
      </c>
    </row>
    <row r="831" spans="1:4" x14ac:dyDescent="0.25">
      <c r="A831">
        <v>1998</v>
      </c>
      <c r="B831" t="s">
        <v>115</v>
      </c>
      <c r="C831">
        <v>55</v>
      </c>
      <c r="D831">
        <v>62.531092097779499</v>
      </c>
    </row>
    <row r="832" spans="1:4" x14ac:dyDescent="0.25">
      <c r="A832">
        <v>1998</v>
      </c>
      <c r="B832" t="s">
        <v>115</v>
      </c>
      <c r="C832">
        <v>60</v>
      </c>
      <c r="D832">
        <v>50.3620775829786</v>
      </c>
    </row>
    <row r="833" spans="1:4" x14ac:dyDescent="0.25">
      <c r="A833">
        <v>1998</v>
      </c>
      <c r="B833" t="s">
        <v>115</v>
      </c>
      <c r="C833">
        <v>65</v>
      </c>
      <c r="D833">
        <v>35.878495465938997</v>
      </c>
    </row>
    <row r="834" spans="1:4" x14ac:dyDescent="0.25">
      <c r="A834">
        <v>1998</v>
      </c>
      <c r="B834" t="s">
        <v>115</v>
      </c>
      <c r="C834">
        <v>70</v>
      </c>
      <c r="D834">
        <v>46.129494170493103</v>
      </c>
    </row>
    <row r="835" spans="1:4" x14ac:dyDescent="0.25">
      <c r="A835">
        <v>1998</v>
      </c>
      <c r="B835" t="s">
        <v>115</v>
      </c>
      <c r="C835">
        <v>75</v>
      </c>
      <c r="D835">
        <v>27.677696502295799</v>
      </c>
    </row>
    <row r="836" spans="1:4" x14ac:dyDescent="0.25">
      <c r="A836">
        <v>1998</v>
      </c>
      <c r="B836" t="s">
        <v>115</v>
      </c>
      <c r="C836">
        <v>80</v>
      </c>
      <c r="D836">
        <v>17.426697797741799</v>
      </c>
    </row>
    <row r="837" spans="1:4" x14ac:dyDescent="0.25">
      <c r="A837">
        <v>1998</v>
      </c>
      <c r="B837" t="s">
        <v>115</v>
      </c>
      <c r="C837">
        <v>85</v>
      </c>
      <c r="D837">
        <v>33.828295725028198</v>
      </c>
    </row>
    <row r="838" spans="1:4" x14ac:dyDescent="0.25">
      <c r="A838">
        <v>1999</v>
      </c>
      <c r="B838" t="s">
        <v>115</v>
      </c>
      <c r="C838">
        <v>0</v>
      </c>
      <c r="D838">
        <v>43.2953781499386</v>
      </c>
    </row>
    <row r="839" spans="1:4" x14ac:dyDescent="0.25">
      <c r="A839">
        <v>1999</v>
      </c>
      <c r="B839" t="s">
        <v>115</v>
      </c>
      <c r="C839">
        <v>1</v>
      </c>
      <c r="D839">
        <v>53.195235958613502</v>
      </c>
    </row>
    <row r="840" spans="1:4" x14ac:dyDescent="0.25">
      <c r="A840">
        <v>1999</v>
      </c>
      <c r="B840" t="s">
        <v>115</v>
      </c>
      <c r="C840">
        <v>5</v>
      </c>
      <c r="D840">
        <v>37.850456355167303</v>
      </c>
    </row>
    <row r="841" spans="1:4" x14ac:dyDescent="0.25">
      <c r="A841">
        <v>1999</v>
      </c>
      <c r="B841" t="s">
        <v>115</v>
      </c>
      <c r="C841">
        <v>10</v>
      </c>
      <c r="D841">
        <v>70.585986175852597</v>
      </c>
    </row>
    <row r="842" spans="1:4" x14ac:dyDescent="0.25">
      <c r="A842">
        <v>1999</v>
      </c>
      <c r="B842" t="s">
        <v>115</v>
      </c>
      <c r="C842">
        <v>15</v>
      </c>
      <c r="D842">
        <v>145.263913579291</v>
      </c>
    </row>
    <row r="843" spans="1:4" x14ac:dyDescent="0.25">
      <c r="A843">
        <v>1999</v>
      </c>
      <c r="B843" t="s">
        <v>115</v>
      </c>
      <c r="C843">
        <v>20</v>
      </c>
      <c r="D843">
        <v>182.09138462756201</v>
      </c>
    </row>
    <row r="844" spans="1:4" x14ac:dyDescent="0.25">
      <c r="A844">
        <v>1999</v>
      </c>
      <c r="B844" t="s">
        <v>115</v>
      </c>
      <c r="C844">
        <v>25</v>
      </c>
      <c r="D844">
        <v>156.769198329273</v>
      </c>
    </row>
    <row r="845" spans="1:4" x14ac:dyDescent="0.25">
      <c r="A845">
        <v>1999</v>
      </c>
      <c r="B845" t="s">
        <v>115</v>
      </c>
      <c r="C845">
        <v>30</v>
      </c>
      <c r="D845">
        <v>138.10301643101599</v>
      </c>
    </row>
    <row r="846" spans="1:4" x14ac:dyDescent="0.25">
      <c r="A846">
        <v>1999</v>
      </c>
      <c r="B846" t="s">
        <v>115</v>
      </c>
      <c r="C846">
        <v>35</v>
      </c>
      <c r="D846">
        <v>129.919133975845</v>
      </c>
    </row>
    <row r="847" spans="1:4" x14ac:dyDescent="0.25">
      <c r="A847">
        <v>1999</v>
      </c>
      <c r="B847" t="s">
        <v>115</v>
      </c>
      <c r="C847">
        <v>40</v>
      </c>
      <c r="D847">
        <v>105.367486610331</v>
      </c>
    </row>
    <row r="848" spans="1:4" x14ac:dyDescent="0.25">
      <c r="A848">
        <v>1999</v>
      </c>
      <c r="B848" t="s">
        <v>115</v>
      </c>
      <c r="C848">
        <v>45</v>
      </c>
      <c r="D848">
        <v>68.540015562059807</v>
      </c>
    </row>
    <row r="849" spans="1:4" x14ac:dyDescent="0.25">
      <c r="A849">
        <v>1999</v>
      </c>
      <c r="B849" t="s">
        <v>115</v>
      </c>
      <c r="C849">
        <v>50</v>
      </c>
      <c r="D849">
        <v>45.090878862988902</v>
      </c>
    </row>
    <row r="850" spans="1:4" x14ac:dyDescent="0.25">
      <c r="A850">
        <v>1999</v>
      </c>
      <c r="B850" t="s">
        <v>115</v>
      </c>
      <c r="C850">
        <v>55</v>
      </c>
      <c r="D850">
        <v>46.034338810338603</v>
      </c>
    </row>
    <row r="851" spans="1:4" x14ac:dyDescent="0.25">
      <c r="A851">
        <v>1999</v>
      </c>
      <c r="B851" t="s">
        <v>115</v>
      </c>
      <c r="C851">
        <v>60</v>
      </c>
      <c r="D851">
        <v>37.850456355167303</v>
      </c>
    </row>
    <row r="852" spans="1:4" x14ac:dyDescent="0.25">
      <c r="A852">
        <v>1999</v>
      </c>
      <c r="B852" t="s">
        <v>115</v>
      </c>
      <c r="C852">
        <v>65</v>
      </c>
      <c r="D852">
        <v>36.827471048270901</v>
      </c>
    </row>
    <row r="853" spans="1:4" x14ac:dyDescent="0.25">
      <c r="A853">
        <v>1999</v>
      </c>
      <c r="B853" t="s">
        <v>115</v>
      </c>
      <c r="C853">
        <v>70</v>
      </c>
      <c r="D853">
        <v>27.620603286203199</v>
      </c>
    </row>
    <row r="854" spans="1:4" x14ac:dyDescent="0.25">
      <c r="A854">
        <v>1999</v>
      </c>
      <c r="B854" t="s">
        <v>115</v>
      </c>
      <c r="C854">
        <v>75</v>
      </c>
      <c r="D854">
        <v>26.597617979306801</v>
      </c>
    </row>
    <row r="855" spans="1:4" x14ac:dyDescent="0.25">
      <c r="A855">
        <v>1999</v>
      </c>
      <c r="B855" t="s">
        <v>115</v>
      </c>
      <c r="C855">
        <v>80</v>
      </c>
      <c r="D855">
        <v>27.620603286203199</v>
      </c>
    </row>
    <row r="856" spans="1:4" x14ac:dyDescent="0.25">
      <c r="A856">
        <v>1999</v>
      </c>
      <c r="B856" t="s">
        <v>115</v>
      </c>
      <c r="C856">
        <v>85</v>
      </c>
      <c r="D856">
        <v>33.758515127581703</v>
      </c>
    </row>
    <row r="857" spans="1:4" x14ac:dyDescent="0.25">
      <c r="A857">
        <v>2000</v>
      </c>
      <c r="B857" t="s">
        <v>115</v>
      </c>
      <c r="C857">
        <v>0</v>
      </c>
      <c r="D857">
        <v>31.6438629090026</v>
      </c>
    </row>
    <row r="858" spans="1:4" x14ac:dyDescent="0.25">
      <c r="A858">
        <v>2000</v>
      </c>
      <c r="B858" t="s">
        <v>115</v>
      </c>
      <c r="C858">
        <v>1</v>
      </c>
      <c r="D858">
        <v>49.722255473892702</v>
      </c>
    </row>
    <row r="859" spans="1:4" x14ac:dyDescent="0.25">
      <c r="A859">
        <v>2000</v>
      </c>
      <c r="B859" t="s">
        <v>115</v>
      </c>
      <c r="C859">
        <v>5</v>
      </c>
      <c r="D859">
        <v>28.412717413652999</v>
      </c>
    </row>
    <row r="860" spans="1:4" x14ac:dyDescent="0.25">
      <c r="A860">
        <v>2000</v>
      </c>
      <c r="B860" t="s">
        <v>115</v>
      </c>
      <c r="C860">
        <v>10</v>
      </c>
      <c r="D860">
        <v>44.648555935740397</v>
      </c>
    </row>
    <row r="861" spans="1:4" x14ac:dyDescent="0.25">
      <c r="A861">
        <v>2000</v>
      </c>
      <c r="B861" t="s">
        <v>115</v>
      </c>
      <c r="C861">
        <v>15</v>
      </c>
      <c r="D861">
        <v>144.09306688352601</v>
      </c>
    </row>
    <row r="862" spans="1:4" x14ac:dyDescent="0.25">
      <c r="A862">
        <v>2000</v>
      </c>
      <c r="B862" t="s">
        <v>115</v>
      </c>
      <c r="C862">
        <v>20</v>
      </c>
      <c r="D862">
        <v>148.152026514048</v>
      </c>
    </row>
    <row r="863" spans="1:4" x14ac:dyDescent="0.25">
      <c r="A863">
        <v>2000</v>
      </c>
      <c r="B863" t="s">
        <v>115</v>
      </c>
      <c r="C863">
        <v>25</v>
      </c>
      <c r="D863">
        <v>141.04884716063401</v>
      </c>
    </row>
    <row r="864" spans="1:4" x14ac:dyDescent="0.25">
      <c r="A864">
        <v>2000</v>
      </c>
      <c r="B864" t="s">
        <v>115</v>
      </c>
      <c r="C864">
        <v>30</v>
      </c>
      <c r="D864">
        <v>130.99884499510699</v>
      </c>
    </row>
    <row r="865" spans="1:4" x14ac:dyDescent="0.25">
      <c r="A865">
        <v>2000</v>
      </c>
      <c r="B865" t="s">
        <v>115</v>
      </c>
      <c r="C865">
        <v>35</v>
      </c>
      <c r="D865">
        <v>116.695089377503</v>
      </c>
    </row>
    <row r="866" spans="1:4" x14ac:dyDescent="0.25">
      <c r="A866">
        <v>2000</v>
      </c>
      <c r="B866" t="s">
        <v>115</v>
      </c>
      <c r="C866">
        <v>40</v>
      </c>
      <c r="D866">
        <v>87.267632056219895</v>
      </c>
    </row>
    <row r="867" spans="1:4" x14ac:dyDescent="0.25">
      <c r="A867">
        <v>2000</v>
      </c>
      <c r="B867" t="s">
        <v>115</v>
      </c>
      <c r="C867">
        <v>45</v>
      </c>
      <c r="D867">
        <v>72.146598071543096</v>
      </c>
    </row>
    <row r="868" spans="1:4" x14ac:dyDescent="0.25">
      <c r="A868">
        <v>2000</v>
      </c>
      <c r="B868" t="s">
        <v>115</v>
      </c>
      <c r="C868">
        <v>50</v>
      </c>
      <c r="D868">
        <v>55.810694919675498</v>
      </c>
    </row>
    <row r="869" spans="1:4" x14ac:dyDescent="0.25">
      <c r="A869">
        <v>2000</v>
      </c>
      <c r="B869" t="s">
        <v>115</v>
      </c>
      <c r="C869">
        <v>55</v>
      </c>
      <c r="D869">
        <v>43.633816028109898</v>
      </c>
    </row>
    <row r="870" spans="1:4" x14ac:dyDescent="0.25">
      <c r="A870">
        <v>2000</v>
      </c>
      <c r="B870" t="s">
        <v>115</v>
      </c>
      <c r="C870">
        <v>60</v>
      </c>
      <c r="D870">
        <v>52.7664751967841</v>
      </c>
    </row>
    <row r="871" spans="1:4" x14ac:dyDescent="0.25">
      <c r="A871">
        <v>2000</v>
      </c>
      <c r="B871" t="s">
        <v>115</v>
      </c>
      <c r="C871">
        <v>65</v>
      </c>
      <c r="D871">
        <v>38.560116489957601</v>
      </c>
    </row>
    <row r="872" spans="1:4" x14ac:dyDescent="0.25">
      <c r="A872">
        <v>2000</v>
      </c>
      <c r="B872" t="s">
        <v>115</v>
      </c>
      <c r="C872">
        <v>70</v>
      </c>
      <c r="D872">
        <v>34.501156859435802</v>
      </c>
    </row>
    <row r="873" spans="1:4" x14ac:dyDescent="0.25">
      <c r="A873">
        <v>2000</v>
      </c>
      <c r="B873" t="s">
        <v>115</v>
      </c>
      <c r="C873">
        <v>75</v>
      </c>
      <c r="D873">
        <v>22.324277967870199</v>
      </c>
    </row>
    <row r="874" spans="1:4" x14ac:dyDescent="0.25">
      <c r="A874">
        <v>2000</v>
      </c>
      <c r="B874" t="s">
        <v>115</v>
      </c>
      <c r="C874">
        <v>80</v>
      </c>
      <c r="D874">
        <v>20.2947981526093</v>
      </c>
    </row>
    <row r="875" spans="1:4" x14ac:dyDescent="0.25">
      <c r="A875">
        <v>2000</v>
      </c>
      <c r="B875" t="s">
        <v>115</v>
      </c>
      <c r="C875">
        <v>85</v>
      </c>
      <c r="D875">
        <v>25.3684976907616</v>
      </c>
    </row>
    <row r="876" spans="1:4" x14ac:dyDescent="0.25">
      <c r="A876">
        <v>2001</v>
      </c>
      <c r="B876" t="s">
        <v>115</v>
      </c>
      <c r="C876">
        <v>0</v>
      </c>
      <c r="D876">
        <v>38.621167460345802</v>
      </c>
    </row>
    <row r="877" spans="1:4" x14ac:dyDescent="0.25">
      <c r="A877">
        <v>2001</v>
      </c>
      <c r="B877" t="s">
        <v>115</v>
      </c>
      <c r="C877">
        <v>1</v>
      </c>
      <c r="D877">
        <v>54.974274403014697</v>
      </c>
    </row>
    <row r="878" spans="1:4" x14ac:dyDescent="0.25">
      <c r="A878">
        <v>2001</v>
      </c>
      <c r="B878" t="s">
        <v>115</v>
      </c>
      <c r="C878">
        <v>5</v>
      </c>
      <c r="D878">
        <v>39.7036426243995</v>
      </c>
    </row>
    <row r="879" spans="1:4" x14ac:dyDescent="0.25">
      <c r="A879">
        <v>2001</v>
      </c>
      <c r="B879" t="s">
        <v>115</v>
      </c>
      <c r="C879">
        <v>10</v>
      </c>
      <c r="D879">
        <v>52.938190165865997</v>
      </c>
    </row>
    <row r="880" spans="1:4" x14ac:dyDescent="0.25">
      <c r="A880">
        <v>2001</v>
      </c>
      <c r="B880" t="s">
        <v>115</v>
      </c>
      <c r="C880">
        <v>15</v>
      </c>
      <c r="D880">
        <v>151.68827566757801</v>
      </c>
    </row>
    <row r="881" spans="1:4" x14ac:dyDescent="0.25">
      <c r="A881">
        <v>2001</v>
      </c>
      <c r="B881" t="s">
        <v>115</v>
      </c>
      <c r="C881">
        <v>20</v>
      </c>
      <c r="D881">
        <v>181.56681376722599</v>
      </c>
    </row>
    <row r="882" spans="1:4" x14ac:dyDescent="0.25">
      <c r="A882">
        <v>2001</v>
      </c>
      <c r="B882" t="s">
        <v>115</v>
      </c>
      <c r="C882">
        <v>25</v>
      </c>
      <c r="D882">
        <v>129.37966282196001</v>
      </c>
    </row>
    <row r="883" spans="1:4" x14ac:dyDescent="0.25">
      <c r="A883">
        <v>2001</v>
      </c>
      <c r="B883" t="s">
        <v>115</v>
      </c>
      <c r="C883">
        <v>30</v>
      </c>
      <c r="D883">
        <v>122.165054228922</v>
      </c>
    </row>
    <row r="884" spans="1:4" x14ac:dyDescent="0.25">
      <c r="A884">
        <v>2001</v>
      </c>
      <c r="B884" t="s">
        <v>115</v>
      </c>
      <c r="C884">
        <v>35</v>
      </c>
      <c r="D884">
        <v>113.10250084652399</v>
      </c>
    </row>
    <row r="885" spans="1:4" x14ac:dyDescent="0.25">
      <c r="A885">
        <v>2001</v>
      </c>
      <c r="B885" t="s">
        <v>115</v>
      </c>
      <c r="C885">
        <v>40</v>
      </c>
      <c r="D885">
        <v>88.674356590573296</v>
      </c>
    </row>
    <row r="886" spans="1:4" x14ac:dyDescent="0.25">
      <c r="A886">
        <v>2001</v>
      </c>
      <c r="B886" t="s">
        <v>115</v>
      </c>
      <c r="C886">
        <v>45</v>
      </c>
      <c r="D886">
        <v>57.010358640163403</v>
      </c>
    </row>
    <row r="887" spans="1:4" x14ac:dyDescent="0.25">
      <c r="A887">
        <v>2001</v>
      </c>
      <c r="B887" t="s">
        <v>115</v>
      </c>
      <c r="C887">
        <v>50</v>
      </c>
      <c r="D887">
        <v>62.100569233035102</v>
      </c>
    </row>
    <row r="888" spans="1:4" x14ac:dyDescent="0.25">
      <c r="A888">
        <v>2001</v>
      </c>
      <c r="B888" t="s">
        <v>115</v>
      </c>
      <c r="C888">
        <v>55</v>
      </c>
      <c r="D888">
        <v>35.732413170357397</v>
      </c>
    </row>
    <row r="889" spans="1:4" x14ac:dyDescent="0.25">
      <c r="A889">
        <v>2001</v>
      </c>
      <c r="B889" t="s">
        <v>115</v>
      </c>
      <c r="C889">
        <v>60</v>
      </c>
      <c r="D889">
        <v>33.595389912953401</v>
      </c>
    </row>
    <row r="890" spans="1:4" x14ac:dyDescent="0.25">
      <c r="A890">
        <v>2001</v>
      </c>
      <c r="B890" t="s">
        <v>115</v>
      </c>
      <c r="C890">
        <v>65</v>
      </c>
      <c r="D890">
        <v>38.685600505825199</v>
      </c>
    </row>
    <row r="891" spans="1:4" x14ac:dyDescent="0.25">
      <c r="A891">
        <v>2001</v>
      </c>
      <c r="B891" t="s">
        <v>115</v>
      </c>
      <c r="C891">
        <v>70</v>
      </c>
      <c r="D891">
        <v>30.541263557230401</v>
      </c>
    </row>
    <row r="892" spans="1:4" x14ac:dyDescent="0.25">
      <c r="A892">
        <v>2001</v>
      </c>
      <c r="B892" t="s">
        <v>115</v>
      </c>
      <c r="C892">
        <v>75</v>
      </c>
      <c r="D892">
        <v>30.541263557230401</v>
      </c>
    </row>
    <row r="893" spans="1:4" x14ac:dyDescent="0.25">
      <c r="A893">
        <v>2001</v>
      </c>
      <c r="B893" t="s">
        <v>115</v>
      </c>
      <c r="C893">
        <v>80</v>
      </c>
      <c r="D893">
        <v>17.3067160157639</v>
      </c>
    </row>
    <row r="894" spans="1:4" x14ac:dyDescent="0.25">
      <c r="A894">
        <v>2001</v>
      </c>
      <c r="B894" t="s">
        <v>115</v>
      </c>
      <c r="C894">
        <v>85</v>
      </c>
      <c r="D894">
        <v>26.469095082932999</v>
      </c>
    </row>
    <row r="895" spans="1:4" x14ac:dyDescent="0.25">
      <c r="A895">
        <v>2002</v>
      </c>
      <c r="B895" t="s">
        <v>115</v>
      </c>
      <c r="C895">
        <v>0</v>
      </c>
      <c r="D895">
        <v>38.1798987197296</v>
      </c>
    </row>
    <row r="896" spans="1:4" x14ac:dyDescent="0.25">
      <c r="A896">
        <v>2002</v>
      </c>
      <c r="B896" t="s">
        <v>115</v>
      </c>
      <c r="C896">
        <v>1</v>
      </c>
      <c r="D896">
        <v>48.022345510283202</v>
      </c>
    </row>
    <row r="897" spans="1:4" x14ac:dyDescent="0.25">
      <c r="A897">
        <v>2002</v>
      </c>
      <c r="B897" t="s">
        <v>115</v>
      </c>
      <c r="C897">
        <v>5</v>
      </c>
      <c r="D897">
        <v>30.652560964010501</v>
      </c>
    </row>
    <row r="898" spans="1:4" x14ac:dyDescent="0.25">
      <c r="A898">
        <v>2002</v>
      </c>
      <c r="B898" t="s">
        <v>115</v>
      </c>
      <c r="C898">
        <v>10</v>
      </c>
      <c r="D898">
        <v>52.1093536388179</v>
      </c>
    </row>
    <row r="899" spans="1:4" x14ac:dyDescent="0.25">
      <c r="A899">
        <v>2002</v>
      </c>
      <c r="B899" t="s">
        <v>115</v>
      </c>
      <c r="C899">
        <v>15</v>
      </c>
      <c r="D899">
        <v>132.82776417737901</v>
      </c>
    </row>
    <row r="900" spans="1:4" x14ac:dyDescent="0.25">
      <c r="A900">
        <v>2002</v>
      </c>
      <c r="B900" t="s">
        <v>115</v>
      </c>
      <c r="C900">
        <v>20</v>
      </c>
      <c r="D900">
        <v>158.37156498072099</v>
      </c>
    </row>
    <row r="901" spans="1:4" x14ac:dyDescent="0.25">
      <c r="A901">
        <v>2002</v>
      </c>
      <c r="B901" t="s">
        <v>115</v>
      </c>
      <c r="C901">
        <v>25</v>
      </c>
      <c r="D901">
        <v>145.08878856298301</v>
      </c>
    </row>
    <row r="902" spans="1:4" x14ac:dyDescent="0.25">
      <c r="A902">
        <v>2002</v>
      </c>
      <c r="B902" t="s">
        <v>115</v>
      </c>
      <c r="C902">
        <v>30</v>
      </c>
      <c r="D902">
        <v>128.74075604884399</v>
      </c>
    </row>
    <row r="903" spans="1:4" x14ac:dyDescent="0.25">
      <c r="A903">
        <v>2002</v>
      </c>
      <c r="B903" t="s">
        <v>115</v>
      </c>
      <c r="C903">
        <v>35</v>
      </c>
      <c r="D903">
        <v>103.29304179601</v>
      </c>
    </row>
    <row r="904" spans="1:4" x14ac:dyDescent="0.25">
      <c r="A904">
        <v>2002</v>
      </c>
      <c r="B904" t="s">
        <v>115</v>
      </c>
      <c r="C904">
        <v>40</v>
      </c>
      <c r="D904">
        <v>79.696658506427397</v>
      </c>
    </row>
    <row r="905" spans="1:4" x14ac:dyDescent="0.25">
      <c r="A905">
        <v>2002</v>
      </c>
      <c r="B905" t="s">
        <v>115</v>
      </c>
      <c r="C905">
        <v>45</v>
      </c>
      <c r="D905">
        <v>68.4573861529569</v>
      </c>
    </row>
    <row r="906" spans="1:4" x14ac:dyDescent="0.25">
      <c r="A906">
        <v>2002</v>
      </c>
      <c r="B906" t="s">
        <v>115</v>
      </c>
      <c r="C906">
        <v>50</v>
      </c>
      <c r="D906">
        <v>55.174609735219001</v>
      </c>
    </row>
    <row r="907" spans="1:4" x14ac:dyDescent="0.25">
      <c r="A907">
        <v>2002</v>
      </c>
      <c r="B907" t="s">
        <v>115</v>
      </c>
      <c r="C907">
        <v>55</v>
      </c>
      <c r="D907">
        <v>41.993512524562298</v>
      </c>
    </row>
    <row r="908" spans="1:4" x14ac:dyDescent="0.25">
      <c r="A908">
        <v>2002</v>
      </c>
      <c r="B908" t="s">
        <v>115</v>
      </c>
      <c r="C908">
        <v>60</v>
      </c>
      <c r="D908">
        <v>45.978841446015799</v>
      </c>
    </row>
    <row r="909" spans="1:4" x14ac:dyDescent="0.25">
      <c r="A909">
        <v>2002</v>
      </c>
      <c r="B909" t="s">
        <v>115</v>
      </c>
      <c r="C909">
        <v>65</v>
      </c>
      <c r="D909">
        <v>29.6308089318768</v>
      </c>
    </row>
    <row r="910" spans="1:4" x14ac:dyDescent="0.25">
      <c r="A910">
        <v>2002</v>
      </c>
      <c r="B910" t="s">
        <v>115</v>
      </c>
      <c r="C910">
        <v>70</v>
      </c>
      <c r="D910">
        <v>34.739569092545302</v>
      </c>
    </row>
    <row r="911" spans="1:4" x14ac:dyDescent="0.25">
      <c r="A911">
        <v>2002</v>
      </c>
      <c r="B911" t="s">
        <v>115</v>
      </c>
      <c r="C911">
        <v>75</v>
      </c>
      <c r="D911">
        <v>23.500296739074699</v>
      </c>
    </row>
    <row r="912" spans="1:4" x14ac:dyDescent="0.25">
      <c r="A912">
        <v>2002</v>
      </c>
      <c r="B912" t="s">
        <v>115</v>
      </c>
      <c r="C912">
        <v>80</v>
      </c>
      <c r="D912">
        <v>20.435040642673702</v>
      </c>
    </row>
    <row r="913" spans="1:4" x14ac:dyDescent="0.25">
      <c r="A913">
        <v>2002</v>
      </c>
      <c r="B913" t="s">
        <v>115</v>
      </c>
      <c r="C913">
        <v>85</v>
      </c>
      <c r="D913">
        <v>29.6308089318768</v>
      </c>
    </row>
    <row r="914" spans="1:4" x14ac:dyDescent="0.25">
      <c r="A914">
        <v>2003</v>
      </c>
      <c r="B914" t="s">
        <v>115</v>
      </c>
      <c r="C914">
        <v>0</v>
      </c>
      <c r="D914">
        <v>31.856759154201399</v>
      </c>
    </row>
    <row r="915" spans="1:4" x14ac:dyDescent="0.25">
      <c r="A915">
        <v>2003</v>
      </c>
      <c r="B915" t="s">
        <v>115</v>
      </c>
      <c r="C915">
        <v>1</v>
      </c>
      <c r="D915">
        <v>47.646268813454697</v>
      </c>
    </row>
    <row r="916" spans="1:4" x14ac:dyDescent="0.25">
      <c r="A916">
        <v>2003</v>
      </c>
      <c r="B916" t="s">
        <v>115</v>
      </c>
      <c r="C916">
        <v>5</v>
      </c>
      <c r="D916">
        <v>32.440012809160699</v>
      </c>
    </row>
    <row r="917" spans="1:4" x14ac:dyDescent="0.25">
      <c r="A917">
        <v>2003</v>
      </c>
      <c r="B917" t="s">
        <v>115</v>
      </c>
      <c r="C917">
        <v>10</v>
      </c>
      <c r="D917">
        <v>56.1091598133129</v>
      </c>
    </row>
    <row r="918" spans="1:4" x14ac:dyDescent="0.25">
      <c r="A918">
        <v>2003</v>
      </c>
      <c r="B918" t="s">
        <v>115</v>
      </c>
      <c r="C918">
        <v>15</v>
      </c>
      <c r="D918">
        <v>148.182508274469</v>
      </c>
    </row>
    <row r="919" spans="1:4" x14ac:dyDescent="0.25">
      <c r="A919">
        <v>2003</v>
      </c>
      <c r="B919" t="s">
        <v>115</v>
      </c>
      <c r="C919">
        <v>20</v>
      </c>
      <c r="D919">
        <v>144.177482710714</v>
      </c>
    </row>
    <row r="920" spans="1:4" x14ac:dyDescent="0.25">
      <c r="A920">
        <v>2003</v>
      </c>
      <c r="B920" t="s">
        <v>115</v>
      </c>
      <c r="C920">
        <v>25</v>
      </c>
      <c r="D920">
        <v>140.18820112989201</v>
      </c>
    </row>
    <row r="921" spans="1:4" x14ac:dyDescent="0.25">
      <c r="A921">
        <v>2003</v>
      </c>
      <c r="B921" t="s">
        <v>115</v>
      </c>
      <c r="C921">
        <v>30</v>
      </c>
      <c r="D921">
        <v>147.10610277645301</v>
      </c>
    </row>
    <row r="922" spans="1:4" x14ac:dyDescent="0.25">
      <c r="A922">
        <v>2003</v>
      </c>
      <c r="B922" t="s">
        <v>115</v>
      </c>
      <c r="C922">
        <v>35</v>
      </c>
      <c r="D922">
        <v>112.52629443177599</v>
      </c>
    </row>
    <row r="923" spans="1:4" x14ac:dyDescent="0.25">
      <c r="A923">
        <v>2003</v>
      </c>
      <c r="B923" t="s">
        <v>115</v>
      </c>
      <c r="C923">
        <v>40</v>
      </c>
      <c r="D923">
        <v>106.44379203005801</v>
      </c>
    </row>
    <row r="924" spans="1:4" x14ac:dyDescent="0.25">
      <c r="A924">
        <v>2003</v>
      </c>
      <c r="B924" t="s">
        <v>115</v>
      </c>
      <c r="C924">
        <v>45</v>
      </c>
      <c r="D924">
        <v>71.976278420325201</v>
      </c>
    </row>
    <row r="925" spans="1:4" x14ac:dyDescent="0.25">
      <c r="A925">
        <v>2003</v>
      </c>
      <c r="B925" t="s">
        <v>115</v>
      </c>
      <c r="C925">
        <v>50</v>
      </c>
      <c r="D925">
        <v>43.591267212309702</v>
      </c>
    </row>
    <row r="926" spans="1:4" x14ac:dyDescent="0.25">
      <c r="A926">
        <v>2003</v>
      </c>
      <c r="B926" t="s">
        <v>115</v>
      </c>
      <c r="C926">
        <v>55</v>
      </c>
      <c r="D926">
        <v>49.6737696140273</v>
      </c>
    </row>
    <row r="927" spans="1:4" x14ac:dyDescent="0.25">
      <c r="A927">
        <v>2003</v>
      </c>
      <c r="B927" t="s">
        <v>115</v>
      </c>
      <c r="C927">
        <v>60</v>
      </c>
      <c r="D927">
        <v>33.453763209446898</v>
      </c>
    </row>
    <row r="928" spans="1:4" x14ac:dyDescent="0.25">
      <c r="A928">
        <v>2003</v>
      </c>
      <c r="B928" t="s">
        <v>115</v>
      </c>
      <c r="C928">
        <v>65</v>
      </c>
      <c r="D928">
        <v>35.481264010019501</v>
      </c>
    </row>
    <row r="929" spans="1:4" x14ac:dyDescent="0.25">
      <c r="A929">
        <v>2003</v>
      </c>
      <c r="B929" t="s">
        <v>115</v>
      </c>
      <c r="C929">
        <v>70</v>
      </c>
      <c r="D929">
        <v>31.613323494641499</v>
      </c>
    </row>
    <row r="930" spans="1:4" x14ac:dyDescent="0.25">
      <c r="A930">
        <v>2003</v>
      </c>
      <c r="B930" t="s">
        <v>115</v>
      </c>
      <c r="C930">
        <v>75</v>
      </c>
      <c r="D930">
        <v>20.2750080057254</v>
      </c>
    </row>
    <row r="931" spans="1:4" x14ac:dyDescent="0.25">
      <c r="A931">
        <v>2003</v>
      </c>
      <c r="B931" t="s">
        <v>115</v>
      </c>
      <c r="C931">
        <v>80</v>
      </c>
      <c r="D931">
        <v>27.3712608077293</v>
      </c>
    </row>
    <row r="932" spans="1:4" x14ac:dyDescent="0.25">
      <c r="A932">
        <v>2003</v>
      </c>
      <c r="B932" t="s">
        <v>115</v>
      </c>
      <c r="C932">
        <v>85</v>
      </c>
      <c r="D932">
        <v>27.3712608077293</v>
      </c>
    </row>
    <row r="933" spans="1:4" x14ac:dyDescent="0.25">
      <c r="A933">
        <v>2004</v>
      </c>
      <c r="B933" t="s">
        <v>115</v>
      </c>
      <c r="C933">
        <v>0</v>
      </c>
      <c r="D933">
        <v>33.593793005158403</v>
      </c>
    </row>
    <row r="934" spans="1:4" x14ac:dyDescent="0.25">
      <c r="A934">
        <v>2004</v>
      </c>
      <c r="B934" t="s">
        <v>115</v>
      </c>
      <c r="C934">
        <v>1</v>
      </c>
      <c r="D934">
        <v>46.234955620448197</v>
      </c>
    </row>
    <row r="935" spans="1:4" x14ac:dyDescent="0.25">
      <c r="A935">
        <v>2004</v>
      </c>
      <c r="B935" t="s">
        <v>115</v>
      </c>
      <c r="C935">
        <v>5</v>
      </c>
      <c r="D935">
        <v>29.148124195499999</v>
      </c>
    </row>
    <row r="936" spans="1:4" x14ac:dyDescent="0.25">
      <c r="A936">
        <v>2004</v>
      </c>
      <c r="B936" t="s">
        <v>115</v>
      </c>
      <c r="C936">
        <v>10</v>
      </c>
      <c r="D936">
        <v>54.275817467482703</v>
      </c>
    </row>
    <row r="937" spans="1:4" x14ac:dyDescent="0.25">
      <c r="A937">
        <v>2004</v>
      </c>
      <c r="B937" t="s">
        <v>115</v>
      </c>
      <c r="C937">
        <v>15</v>
      </c>
      <c r="D937">
        <v>133.84962034479099</v>
      </c>
    </row>
    <row r="938" spans="1:4" x14ac:dyDescent="0.25">
      <c r="A938">
        <v>2004</v>
      </c>
      <c r="B938" t="s">
        <v>115</v>
      </c>
      <c r="C938">
        <v>20</v>
      </c>
      <c r="D938">
        <v>167.85299105684501</v>
      </c>
    </row>
    <row r="939" spans="1:4" x14ac:dyDescent="0.25">
      <c r="A939">
        <v>2004</v>
      </c>
      <c r="B939" t="s">
        <v>115</v>
      </c>
      <c r="C939">
        <v>25</v>
      </c>
      <c r="D939">
        <v>130.66400501430999</v>
      </c>
    </row>
    <row r="940" spans="1:4" x14ac:dyDescent="0.25">
      <c r="A940">
        <v>2004</v>
      </c>
      <c r="B940" t="s">
        <v>115</v>
      </c>
      <c r="C940">
        <v>30</v>
      </c>
      <c r="D940">
        <v>121.618035436396</v>
      </c>
    </row>
    <row r="941" spans="1:4" x14ac:dyDescent="0.25">
      <c r="A941">
        <v>2004</v>
      </c>
      <c r="B941" t="s">
        <v>115</v>
      </c>
      <c r="C941">
        <v>35</v>
      </c>
      <c r="D941">
        <v>98.591677475965199</v>
      </c>
    </row>
    <row r="942" spans="1:4" x14ac:dyDescent="0.25">
      <c r="A942">
        <v>2004</v>
      </c>
      <c r="B942" t="s">
        <v>115</v>
      </c>
      <c r="C942">
        <v>40</v>
      </c>
      <c r="D942">
        <v>90.459695779137803</v>
      </c>
    </row>
    <row r="943" spans="1:4" x14ac:dyDescent="0.25">
      <c r="A943">
        <v>2004</v>
      </c>
      <c r="B943" t="s">
        <v>115</v>
      </c>
      <c r="C943">
        <v>45</v>
      </c>
      <c r="D943">
        <v>68.347325699793004</v>
      </c>
    </row>
    <row r="944" spans="1:4" x14ac:dyDescent="0.25">
      <c r="A944">
        <v>2004</v>
      </c>
      <c r="B944" t="s">
        <v>115</v>
      </c>
      <c r="C944">
        <v>50</v>
      </c>
      <c r="D944">
        <v>63.321787045396498</v>
      </c>
    </row>
    <row r="945" spans="1:4" x14ac:dyDescent="0.25">
      <c r="A945">
        <v>2004</v>
      </c>
      <c r="B945" t="s">
        <v>115</v>
      </c>
      <c r="C945">
        <v>55</v>
      </c>
      <c r="D945">
        <v>36.1838783116551</v>
      </c>
    </row>
    <row r="946" spans="1:4" x14ac:dyDescent="0.25">
      <c r="A946">
        <v>2004</v>
      </c>
      <c r="B946" t="s">
        <v>115</v>
      </c>
      <c r="C946">
        <v>60</v>
      </c>
      <c r="D946">
        <v>31.158339657258601</v>
      </c>
    </row>
    <row r="947" spans="1:4" x14ac:dyDescent="0.25">
      <c r="A947">
        <v>2004</v>
      </c>
      <c r="B947" t="s">
        <v>115</v>
      </c>
      <c r="C947">
        <v>65</v>
      </c>
      <c r="D947">
        <v>22.112370079344799</v>
      </c>
    </row>
    <row r="948" spans="1:4" x14ac:dyDescent="0.25">
      <c r="A948">
        <v>2004</v>
      </c>
      <c r="B948" t="s">
        <v>115</v>
      </c>
      <c r="C948">
        <v>70</v>
      </c>
      <c r="D948">
        <v>25.1276932719827</v>
      </c>
    </row>
    <row r="949" spans="1:4" x14ac:dyDescent="0.25">
      <c r="A949">
        <v>2004</v>
      </c>
      <c r="B949" t="s">
        <v>115</v>
      </c>
      <c r="C949">
        <v>75</v>
      </c>
      <c r="D949">
        <v>20.102154617586201</v>
      </c>
    </row>
    <row r="950" spans="1:4" x14ac:dyDescent="0.25">
      <c r="A950">
        <v>2004</v>
      </c>
      <c r="B950" t="s">
        <v>115</v>
      </c>
      <c r="C950">
        <v>80</v>
      </c>
      <c r="D950">
        <v>25.1276932719827</v>
      </c>
    </row>
    <row r="951" spans="1:4" x14ac:dyDescent="0.25">
      <c r="A951">
        <v>2004</v>
      </c>
      <c r="B951" t="s">
        <v>115</v>
      </c>
      <c r="C951">
        <v>85</v>
      </c>
      <c r="D951">
        <v>20.402186776057601</v>
      </c>
    </row>
    <row r="952" spans="1:4" x14ac:dyDescent="0.25">
      <c r="A952">
        <v>2005</v>
      </c>
      <c r="B952" t="s">
        <v>115</v>
      </c>
      <c r="C952">
        <v>0</v>
      </c>
      <c r="D952">
        <v>31.596739304025</v>
      </c>
    </row>
    <row r="953" spans="1:4" x14ac:dyDescent="0.25">
      <c r="A953">
        <v>2005</v>
      </c>
      <c r="B953" t="s">
        <v>115</v>
      </c>
      <c r="C953">
        <v>1</v>
      </c>
      <c r="D953">
        <v>51.065437259030297</v>
      </c>
    </row>
    <row r="954" spans="1:4" x14ac:dyDescent="0.25">
      <c r="A954">
        <v>2005</v>
      </c>
      <c r="B954" t="s">
        <v>115</v>
      </c>
      <c r="C954">
        <v>5</v>
      </c>
      <c r="D954">
        <v>33.703188590960004</v>
      </c>
    </row>
    <row r="955" spans="1:4" x14ac:dyDescent="0.25">
      <c r="A955">
        <v>2005</v>
      </c>
      <c r="B955" t="s">
        <v>115</v>
      </c>
      <c r="C955">
        <v>10</v>
      </c>
      <c r="D955">
        <v>66.385068436739402</v>
      </c>
    </row>
    <row r="956" spans="1:4" x14ac:dyDescent="0.25">
      <c r="A956">
        <v>2005</v>
      </c>
      <c r="B956" t="s">
        <v>115</v>
      </c>
      <c r="C956">
        <v>15</v>
      </c>
      <c r="D956">
        <v>140.091400547418</v>
      </c>
    </row>
    <row r="957" spans="1:4" x14ac:dyDescent="0.25">
      <c r="A957">
        <v>2005</v>
      </c>
      <c r="B957" t="s">
        <v>115</v>
      </c>
      <c r="C957">
        <v>20</v>
      </c>
      <c r="D957">
        <v>146.04715056082699</v>
      </c>
    </row>
    <row r="958" spans="1:4" x14ac:dyDescent="0.25">
      <c r="A958">
        <v>2005</v>
      </c>
      <c r="B958" t="s">
        <v>115</v>
      </c>
      <c r="C958">
        <v>25</v>
      </c>
      <c r="D958">
        <v>132.770136873479</v>
      </c>
    </row>
    <row r="959" spans="1:4" x14ac:dyDescent="0.25">
      <c r="A959">
        <v>2005</v>
      </c>
      <c r="B959" t="s">
        <v>115</v>
      </c>
      <c r="C959">
        <v>30</v>
      </c>
      <c r="D959">
        <v>134.81275436384001</v>
      </c>
    </row>
    <row r="960" spans="1:4" x14ac:dyDescent="0.25">
      <c r="A960">
        <v>2005</v>
      </c>
      <c r="B960" t="s">
        <v>115</v>
      </c>
      <c r="C960">
        <v>35</v>
      </c>
      <c r="D960">
        <v>111.32265322468599</v>
      </c>
    </row>
    <row r="961" spans="1:4" x14ac:dyDescent="0.25">
      <c r="A961">
        <v>2005</v>
      </c>
      <c r="B961" t="s">
        <v>115</v>
      </c>
      <c r="C961">
        <v>40</v>
      </c>
      <c r="D961">
        <v>88.956582057106701</v>
      </c>
    </row>
    <row r="962" spans="1:4" x14ac:dyDescent="0.25">
      <c r="A962">
        <v>2005</v>
      </c>
      <c r="B962" t="s">
        <v>115</v>
      </c>
      <c r="C962">
        <v>45</v>
      </c>
      <c r="D962">
        <v>76.598155888545506</v>
      </c>
    </row>
    <row r="963" spans="1:4" x14ac:dyDescent="0.25">
      <c r="A963">
        <v>2005</v>
      </c>
      <c r="B963" t="s">
        <v>115</v>
      </c>
      <c r="C963">
        <v>50</v>
      </c>
      <c r="D963">
        <v>63.321142201197603</v>
      </c>
    </row>
    <row r="964" spans="1:4" x14ac:dyDescent="0.25">
      <c r="A964">
        <v>2005</v>
      </c>
      <c r="B964" t="s">
        <v>115</v>
      </c>
      <c r="C964">
        <v>55</v>
      </c>
      <c r="D964">
        <v>49.022819768669102</v>
      </c>
    </row>
    <row r="965" spans="1:4" x14ac:dyDescent="0.25">
      <c r="A965">
        <v>2005</v>
      </c>
      <c r="B965" t="s">
        <v>115</v>
      </c>
      <c r="C965">
        <v>60</v>
      </c>
      <c r="D965">
        <v>33.703188590960004</v>
      </c>
    </row>
    <row r="966" spans="1:4" x14ac:dyDescent="0.25">
      <c r="A966">
        <v>2005</v>
      </c>
      <c r="B966" t="s">
        <v>115</v>
      </c>
      <c r="C966">
        <v>65</v>
      </c>
      <c r="D966">
        <v>36.767114826501803</v>
      </c>
    </row>
    <row r="967" spans="1:4" x14ac:dyDescent="0.25">
      <c r="A967">
        <v>2005</v>
      </c>
      <c r="B967" t="s">
        <v>115</v>
      </c>
      <c r="C967">
        <v>70</v>
      </c>
      <c r="D967">
        <v>30.6392623554182</v>
      </c>
    </row>
    <row r="968" spans="1:4" x14ac:dyDescent="0.25">
      <c r="A968">
        <v>2005</v>
      </c>
      <c r="B968" t="s">
        <v>115</v>
      </c>
      <c r="C968">
        <v>75</v>
      </c>
      <c r="D968">
        <v>34.724497336140601</v>
      </c>
    </row>
    <row r="969" spans="1:4" x14ac:dyDescent="0.25">
      <c r="A969">
        <v>2005</v>
      </c>
      <c r="B969" t="s">
        <v>115</v>
      </c>
      <c r="C969">
        <v>80</v>
      </c>
      <c r="D969">
        <v>12.2557049421673</v>
      </c>
    </row>
    <row r="970" spans="1:4" x14ac:dyDescent="0.25">
      <c r="A970">
        <v>2005</v>
      </c>
      <c r="B970" t="s">
        <v>115</v>
      </c>
      <c r="C970">
        <v>85</v>
      </c>
      <c r="D970">
        <v>26.554027374695799</v>
      </c>
    </row>
    <row r="971" spans="1:4" x14ac:dyDescent="0.25">
      <c r="A971">
        <v>2006</v>
      </c>
      <c r="B971" t="s">
        <v>115</v>
      </c>
      <c r="C971">
        <v>0</v>
      </c>
      <c r="D971">
        <v>29.082097318823902</v>
      </c>
    </row>
    <row r="972" spans="1:4" x14ac:dyDescent="0.25">
      <c r="A972">
        <v>2006</v>
      </c>
      <c r="B972" t="s">
        <v>115</v>
      </c>
      <c r="C972">
        <v>1</v>
      </c>
      <c r="D972">
        <v>51.1686061019224</v>
      </c>
    </row>
    <row r="973" spans="1:4" x14ac:dyDescent="0.25">
      <c r="A973">
        <v>2006</v>
      </c>
      <c r="B973" t="s">
        <v>115</v>
      </c>
      <c r="C973">
        <v>5</v>
      </c>
      <c r="D973">
        <v>24.560930928922701</v>
      </c>
    </row>
    <row r="974" spans="1:4" x14ac:dyDescent="0.25">
      <c r="A974">
        <v>2006</v>
      </c>
      <c r="B974" t="s">
        <v>115</v>
      </c>
      <c r="C974">
        <v>10</v>
      </c>
      <c r="D974">
        <v>52.191978223960803</v>
      </c>
    </row>
    <row r="975" spans="1:4" x14ac:dyDescent="0.25">
      <c r="A975">
        <v>2006</v>
      </c>
      <c r="B975" t="s">
        <v>115</v>
      </c>
      <c r="C975">
        <v>15</v>
      </c>
      <c r="D975">
        <v>158.622678915959</v>
      </c>
    </row>
    <row r="976" spans="1:4" x14ac:dyDescent="0.25">
      <c r="A976">
        <v>2006</v>
      </c>
      <c r="B976" t="s">
        <v>115</v>
      </c>
      <c r="C976">
        <v>20</v>
      </c>
      <c r="D976">
        <v>145.54361911960601</v>
      </c>
    </row>
    <row r="977" spans="1:4" x14ac:dyDescent="0.25">
      <c r="A977">
        <v>2006</v>
      </c>
      <c r="B977" t="s">
        <v>115</v>
      </c>
      <c r="C977">
        <v>25</v>
      </c>
      <c r="D977">
        <v>139.17860859722899</v>
      </c>
    </row>
    <row r="978" spans="1:4" x14ac:dyDescent="0.25">
      <c r="A978">
        <v>2006</v>
      </c>
      <c r="B978" t="s">
        <v>115</v>
      </c>
      <c r="C978">
        <v>30</v>
      </c>
      <c r="D978">
        <v>130.058327592784</v>
      </c>
    </row>
    <row r="979" spans="1:4" x14ac:dyDescent="0.25">
      <c r="A979">
        <v>2006</v>
      </c>
      <c r="B979" t="s">
        <v>115</v>
      </c>
      <c r="C979">
        <v>35</v>
      </c>
      <c r="D979">
        <v>110.52418918015201</v>
      </c>
    </row>
    <row r="980" spans="1:4" x14ac:dyDescent="0.25">
      <c r="A980">
        <v>2006</v>
      </c>
      <c r="B980" t="s">
        <v>115</v>
      </c>
      <c r="C980">
        <v>40</v>
      </c>
      <c r="D980">
        <v>106.649020078033</v>
      </c>
    </row>
    <row r="981" spans="1:4" x14ac:dyDescent="0.25">
      <c r="A981">
        <v>2006</v>
      </c>
      <c r="B981" t="s">
        <v>115</v>
      </c>
      <c r="C981">
        <v>45</v>
      </c>
      <c r="D981">
        <v>72.659420664729794</v>
      </c>
    </row>
    <row r="982" spans="1:4" x14ac:dyDescent="0.25">
      <c r="A982">
        <v>2006</v>
      </c>
      <c r="B982" t="s">
        <v>115</v>
      </c>
      <c r="C982">
        <v>50</v>
      </c>
      <c r="D982">
        <v>63.449071566383701</v>
      </c>
    </row>
    <row r="983" spans="1:4" x14ac:dyDescent="0.25">
      <c r="A983">
        <v>2006</v>
      </c>
      <c r="B983" t="s">
        <v>115</v>
      </c>
      <c r="C983">
        <v>55</v>
      </c>
      <c r="D983">
        <v>46.051745491730102</v>
      </c>
    </row>
    <row r="984" spans="1:4" x14ac:dyDescent="0.25">
      <c r="A984">
        <v>2006</v>
      </c>
      <c r="B984" t="s">
        <v>115</v>
      </c>
      <c r="C984">
        <v>60</v>
      </c>
      <c r="D984">
        <v>37.864768515422597</v>
      </c>
    </row>
    <row r="985" spans="1:4" x14ac:dyDescent="0.25">
      <c r="A985">
        <v>2006</v>
      </c>
      <c r="B985" t="s">
        <v>115</v>
      </c>
      <c r="C985">
        <v>65</v>
      </c>
      <c r="D985">
        <v>38.888140637460999</v>
      </c>
    </row>
    <row r="986" spans="1:4" x14ac:dyDescent="0.25">
      <c r="A986">
        <v>2006</v>
      </c>
      <c r="B986" t="s">
        <v>115</v>
      </c>
      <c r="C986">
        <v>70</v>
      </c>
      <c r="D986">
        <v>35.818024271345699</v>
      </c>
    </row>
    <row r="987" spans="1:4" x14ac:dyDescent="0.25">
      <c r="A987">
        <v>2006</v>
      </c>
      <c r="B987" t="s">
        <v>115</v>
      </c>
      <c r="C987">
        <v>75</v>
      </c>
      <c r="D987">
        <v>22.5141866848458</v>
      </c>
    </row>
    <row r="988" spans="1:4" x14ac:dyDescent="0.25">
      <c r="A988">
        <v>2006</v>
      </c>
      <c r="B988" t="s">
        <v>115</v>
      </c>
      <c r="C988">
        <v>80</v>
      </c>
      <c r="D988">
        <v>12.2804654644614</v>
      </c>
    </row>
    <row r="989" spans="1:4" x14ac:dyDescent="0.25">
      <c r="A989">
        <v>2006</v>
      </c>
      <c r="B989" t="s">
        <v>115</v>
      </c>
      <c r="C989">
        <v>85</v>
      </c>
      <c r="D989">
        <v>24.9168864496318</v>
      </c>
    </row>
    <row r="990" spans="1:4" x14ac:dyDescent="0.25">
      <c r="A990">
        <v>2007</v>
      </c>
      <c r="B990" t="s">
        <v>115</v>
      </c>
      <c r="C990">
        <v>0</v>
      </c>
      <c r="D990">
        <v>35.255577644173101</v>
      </c>
    </row>
    <row r="991" spans="1:4" x14ac:dyDescent="0.25">
      <c r="A991">
        <v>2007</v>
      </c>
      <c r="B991" t="s">
        <v>115</v>
      </c>
      <c r="C991">
        <v>1</v>
      </c>
      <c r="D991">
        <v>29.5936174622891</v>
      </c>
    </row>
    <row r="992" spans="1:4" x14ac:dyDescent="0.25">
      <c r="A992">
        <v>2007</v>
      </c>
      <c r="B992" t="s">
        <v>115</v>
      </c>
      <c r="C992">
        <v>5</v>
      </c>
      <c r="D992">
        <v>28.573147894624</v>
      </c>
    </row>
    <row r="993" spans="1:4" x14ac:dyDescent="0.25">
      <c r="A993">
        <v>2007</v>
      </c>
      <c r="B993" t="s">
        <v>115</v>
      </c>
      <c r="C993">
        <v>10</v>
      </c>
      <c r="D993">
        <v>39.7983131389405</v>
      </c>
    </row>
    <row r="994" spans="1:4" x14ac:dyDescent="0.25">
      <c r="A994">
        <v>2007</v>
      </c>
      <c r="B994" t="s">
        <v>115</v>
      </c>
      <c r="C994">
        <v>15</v>
      </c>
      <c r="D994">
        <v>113.272122010831</v>
      </c>
    </row>
    <row r="995" spans="1:4" x14ac:dyDescent="0.25">
      <c r="A995">
        <v>2007</v>
      </c>
      <c r="B995" t="s">
        <v>115</v>
      </c>
      <c r="C995">
        <v>20</v>
      </c>
      <c r="D995">
        <v>123.590307409621</v>
      </c>
    </row>
    <row r="996" spans="1:4" x14ac:dyDescent="0.25">
      <c r="A996">
        <v>2007</v>
      </c>
      <c r="B996" t="s">
        <v>115</v>
      </c>
      <c r="C996">
        <v>25</v>
      </c>
      <c r="D996">
        <v>129.59963509347301</v>
      </c>
    </row>
    <row r="997" spans="1:4" x14ac:dyDescent="0.25">
      <c r="A997">
        <v>2007</v>
      </c>
      <c r="B997" t="s">
        <v>115</v>
      </c>
      <c r="C997">
        <v>30</v>
      </c>
      <c r="D997">
        <v>116.33353071382599</v>
      </c>
    </row>
    <row r="998" spans="1:4" x14ac:dyDescent="0.25">
      <c r="A998">
        <v>2007</v>
      </c>
      <c r="B998" t="s">
        <v>115</v>
      </c>
      <c r="C998">
        <v>35</v>
      </c>
      <c r="D998">
        <v>108.169774172505</v>
      </c>
    </row>
    <row r="999" spans="1:4" x14ac:dyDescent="0.25">
      <c r="A999">
        <v>2007</v>
      </c>
      <c r="B999" t="s">
        <v>115</v>
      </c>
      <c r="C999">
        <v>40</v>
      </c>
      <c r="D999">
        <v>91.842261089862703</v>
      </c>
    </row>
    <row r="1000" spans="1:4" x14ac:dyDescent="0.25">
      <c r="A1000">
        <v>2007</v>
      </c>
      <c r="B1000" t="s">
        <v>115</v>
      </c>
      <c r="C1000">
        <v>45</v>
      </c>
      <c r="D1000">
        <v>58.166765356912997</v>
      </c>
    </row>
    <row r="1001" spans="1:4" x14ac:dyDescent="0.25">
      <c r="A1001">
        <v>2007</v>
      </c>
      <c r="B1001" t="s">
        <v>115</v>
      </c>
      <c r="C1001">
        <v>50</v>
      </c>
      <c r="D1001">
        <v>41.839252274270798</v>
      </c>
    </row>
    <row r="1002" spans="1:4" x14ac:dyDescent="0.25">
      <c r="A1002">
        <v>2007</v>
      </c>
      <c r="B1002" t="s">
        <v>115</v>
      </c>
      <c r="C1002">
        <v>55</v>
      </c>
      <c r="D1002">
        <v>38.777843571275397</v>
      </c>
    </row>
    <row r="1003" spans="1:4" x14ac:dyDescent="0.25">
      <c r="A1003">
        <v>2007</v>
      </c>
      <c r="B1003" t="s">
        <v>115</v>
      </c>
      <c r="C1003">
        <v>60</v>
      </c>
      <c r="D1003">
        <v>27.552678326958802</v>
      </c>
    </row>
    <row r="1004" spans="1:4" x14ac:dyDescent="0.25">
      <c r="A1004">
        <v>2007</v>
      </c>
      <c r="B1004" t="s">
        <v>115</v>
      </c>
      <c r="C1004">
        <v>65</v>
      </c>
      <c r="D1004">
        <v>18.3684522179725</v>
      </c>
    </row>
    <row r="1005" spans="1:4" x14ac:dyDescent="0.25">
      <c r="A1005">
        <v>2007</v>
      </c>
      <c r="B1005" t="s">
        <v>115</v>
      </c>
      <c r="C1005">
        <v>70</v>
      </c>
      <c r="D1005">
        <v>35.716434868279897</v>
      </c>
    </row>
    <row r="1006" spans="1:4" x14ac:dyDescent="0.25">
      <c r="A1006">
        <v>2007</v>
      </c>
      <c r="B1006" t="s">
        <v>115</v>
      </c>
      <c r="C1006">
        <v>75</v>
      </c>
      <c r="D1006">
        <v>17.347982650307401</v>
      </c>
    </row>
    <row r="1007" spans="1:4" x14ac:dyDescent="0.25">
      <c r="A1007">
        <v>2007</v>
      </c>
      <c r="B1007" t="s">
        <v>115</v>
      </c>
      <c r="C1007">
        <v>80</v>
      </c>
      <c r="D1007">
        <v>15.307043514977099</v>
      </c>
    </row>
    <row r="1008" spans="1:4" x14ac:dyDescent="0.25">
      <c r="A1008">
        <v>2007</v>
      </c>
      <c r="B1008" t="s">
        <v>115</v>
      </c>
      <c r="C1008">
        <v>85</v>
      </c>
      <c r="D1008">
        <v>21.429860920968</v>
      </c>
    </row>
    <row r="1009" spans="1:4" x14ac:dyDescent="0.25">
      <c r="A1009">
        <v>2008</v>
      </c>
      <c r="B1009" t="s">
        <v>115</v>
      </c>
      <c r="C1009">
        <v>0</v>
      </c>
      <c r="D1009">
        <v>28.610929870977301</v>
      </c>
    </row>
    <row r="1010" spans="1:4" x14ac:dyDescent="0.25">
      <c r="A1010">
        <v>2008</v>
      </c>
      <c r="B1010" t="s">
        <v>115</v>
      </c>
      <c r="C1010">
        <v>1</v>
      </c>
      <c r="D1010">
        <v>37.807300186648597</v>
      </c>
    </row>
    <row r="1011" spans="1:4" x14ac:dyDescent="0.25">
      <c r="A1011">
        <v>2008</v>
      </c>
      <c r="B1011" t="s">
        <v>115</v>
      </c>
      <c r="C1011">
        <v>5</v>
      </c>
      <c r="D1011">
        <v>22.480016327196498</v>
      </c>
    </row>
    <row r="1012" spans="1:4" x14ac:dyDescent="0.25">
      <c r="A1012">
        <v>2008</v>
      </c>
      <c r="B1012" t="s">
        <v>115</v>
      </c>
      <c r="C1012">
        <v>10</v>
      </c>
      <c r="D1012">
        <v>54.1564029700642</v>
      </c>
    </row>
    <row r="1013" spans="1:4" x14ac:dyDescent="0.25">
      <c r="A1013">
        <v>2008</v>
      </c>
      <c r="B1013" t="s">
        <v>115</v>
      </c>
      <c r="C1013">
        <v>15</v>
      </c>
      <c r="D1013">
        <v>151.22920074659399</v>
      </c>
    </row>
    <row r="1014" spans="1:4" x14ac:dyDescent="0.25">
      <c r="A1014">
        <v>2008</v>
      </c>
      <c r="B1014" t="s">
        <v>115</v>
      </c>
      <c r="C1014">
        <v>20</v>
      </c>
      <c r="D1014">
        <v>175.75285492171801</v>
      </c>
    </row>
    <row r="1015" spans="1:4" x14ac:dyDescent="0.25">
      <c r="A1015">
        <v>2008</v>
      </c>
      <c r="B1015" t="s">
        <v>115</v>
      </c>
      <c r="C1015">
        <v>25</v>
      </c>
      <c r="D1015">
        <v>181.883768465499</v>
      </c>
    </row>
    <row r="1016" spans="1:4" x14ac:dyDescent="0.25">
      <c r="A1016">
        <v>2008</v>
      </c>
      <c r="B1016" t="s">
        <v>115</v>
      </c>
      <c r="C1016">
        <v>30</v>
      </c>
      <c r="D1016">
        <v>153.27283859452101</v>
      </c>
    </row>
    <row r="1017" spans="1:4" x14ac:dyDescent="0.25">
      <c r="A1017">
        <v>2008</v>
      </c>
      <c r="B1017" t="s">
        <v>115</v>
      </c>
      <c r="C1017">
        <v>35</v>
      </c>
      <c r="D1017">
        <v>151.39465939073699</v>
      </c>
    </row>
    <row r="1018" spans="1:4" x14ac:dyDescent="0.25">
      <c r="A1018">
        <v>2008</v>
      </c>
      <c r="B1018" t="s">
        <v>115</v>
      </c>
      <c r="C1018">
        <v>40</v>
      </c>
      <c r="D1018">
        <v>121.596451951654</v>
      </c>
    </row>
    <row r="1019" spans="1:4" x14ac:dyDescent="0.25">
      <c r="A1019">
        <v>2008</v>
      </c>
      <c r="B1019" t="s">
        <v>115</v>
      </c>
      <c r="C1019">
        <v>45</v>
      </c>
      <c r="D1019">
        <v>97.072797776530194</v>
      </c>
    </row>
    <row r="1020" spans="1:4" x14ac:dyDescent="0.25">
      <c r="A1020">
        <v>2008</v>
      </c>
      <c r="B1020" t="s">
        <v>115</v>
      </c>
      <c r="C1020">
        <v>50</v>
      </c>
      <c r="D1020">
        <v>63.352773285735502</v>
      </c>
    </row>
    <row r="1021" spans="1:4" x14ac:dyDescent="0.25">
      <c r="A1021">
        <v>2008</v>
      </c>
      <c r="B1021" t="s">
        <v>115</v>
      </c>
      <c r="C1021">
        <v>55</v>
      </c>
      <c r="D1021">
        <v>54.1564029700642</v>
      </c>
    </row>
    <row r="1022" spans="1:4" x14ac:dyDescent="0.25">
      <c r="A1022">
        <v>2008</v>
      </c>
      <c r="B1022" t="s">
        <v>115</v>
      </c>
      <c r="C1022">
        <v>60</v>
      </c>
      <c r="D1022">
        <v>40.872756958539</v>
      </c>
    </row>
    <row r="1023" spans="1:4" x14ac:dyDescent="0.25">
      <c r="A1023">
        <v>2008</v>
      </c>
      <c r="B1023" t="s">
        <v>115</v>
      </c>
      <c r="C1023">
        <v>65</v>
      </c>
      <c r="D1023">
        <v>21.458197403233001</v>
      </c>
    </row>
    <row r="1024" spans="1:4" x14ac:dyDescent="0.25">
      <c r="A1024">
        <v>2008</v>
      </c>
      <c r="B1024" t="s">
        <v>115</v>
      </c>
      <c r="C1024">
        <v>70</v>
      </c>
      <c r="D1024">
        <v>32.698205566831199</v>
      </c>
    </row>
    <row r="1025" spans="1:4" x14ac:dyDescent="0.25">
      <c r="A1025">
        <v>2008</v>
      </c>
      <c r="B1025" t="s">
        <v>115</v>
      </c>
      <c r="C1025">
        <v>75</v>
      </c>
      <c r="D1025">
        <v>27.589110947013801</v>
      </c>
    </row>
    <row r="1026" spans="1:4" x14ac:dyDescent="0.25">
      <c r="A1026">
        <v>2008</v>
      </c>
      <c r="B1026" t="s">
        <v>115</v>
      </c>
      <c r="C1026">
        <v>80</v>
      </c>
      <c r="D1026">
        <v>24.523654175123401</v>
      </c>
    </row>
    <row r="1027" spans="1:4" x14ac:dyDescent="0.25">
      <c r="A1027">
        <v>2008</v>
      </c>
      <c r="B1027" t="s">
        <v>115</v>
      </c>
      <c r="C1027">
        <v>85</v>
      </c>
      <c r="D1027">
        <v>13.2836460115252</v>
      </c>
    </row>
    <row r="1028" spans="1:4" x14ac:dyDescent="0.25">
      <c r="A1028">
        <v>2009</v>
      </c>
      <c r="B1028" t="s">
        <v>115</v>
      </c>
      <c r="C1028">
        <v>0</v>
      </c>
      <c r="D1028">
        <v>52.754188211901798</v>
      </c>
    </row>
    <row r="1029" spans="1:4" x14ac:dyDescent="0.25">
      <c r="A1029">
        <v>2009</v>
      </c>
      <c r="B1029" t="s">
        <v>115</v>
      </c>
      <c r="C1029">
        <v>1</v>
      </c>
      <c r="D1029">
        <v>62.513904585890202</v>
      </c>
    </row>
    <row r="1030" spans="1:4" x14ac:dyDescent="0.25">
      <c r="A1030">
        <v>2009</v>
      </c>
      <c r="B1030" t="s">
        <v>115</v>
      </c>
      <c r="C1030">
        <v>5</v>
      </c>
      <c r="D1030">
        <v>33.818997562858598</v>
      </c>
    </row>
    <row r="1031" spans="1:4" x14ac:dyDescent="0.25">
      <c r="A1031">
        <v>2009</v>
      </c>
      <c r="B1031" t="s">
        <v>115</v>
      </c>
      <c r="C1031">
        <v>10</v>
      </c>
      <c r="D1031">
        <v>59.439450261993997</v>
      </c>
    </row>
    <row r="1032" spans="1:4" x14ac:dyDescent="0.25">
      <c r="A1032">
        <v>2009</v>
      </c>
      <c r="B1032" t="s">
        <v>115</v>
      </c>
      <c r="C1032">
        <v>15</v>
      </c>
      <c r="D1032">
        <v>207.01325780901399</v>
      </c>
    </row>
    <row r="1033" spans="1:4" x14ac:dyDescent="0.25">
      <c r="A1033">
        <v>2009</v>
      </c>
      <c r="B1033" t="s">
        <v>115</v>
      </c>
      <c r="C1033">
        <v>20</v>
      </c>
      <c r="D1033">
        <v>284.38444819073402</v>
      </c>
    </row>
    <row r="1034" spans="1:4" x14ac:dyDescent="0.25">
      <c r="A1034">
        <v>2009</v>
      </c>
      <c r="B1034" t="s">
        <v>115</v>
      </c>
      <c r="C1034">
        <v>25</v>
      </c>
      <c r="D1034">
        <v>206.26118175957299</v>
      </c>
    </row>
    <row r="1035" spans="1:4" x14ac:dyDescent="0.25">
      <c r="A1035">
        <v>2009</v>
      </c>
      <c r="B1035" t="s">
        <v>115</v>
      </c>
      <c r="C1035">
        <v>30</v>
      </c>
      <c r="D1035">
        <v>219.31107510459901</v>
      </c>
    </row>
    <row r="1036" spans="1:4" x14ac:dyDescent="0.25">
      <c r="A1036">
        <v>2009</v>
      </c>
      <c r="B1036" t="s">
        <v>115</v>
      </c>
      <c r="C1036">
        <v>35</v>
      </c>
      <c r="D1036">
        <v>204.16307636285001</v>
      </c>
    </row>
    <row r="1037" spans="1:4" x14ac:dyDescent="0.25">
      <c r="A1037">
        <v>2009</v>
      </c>
      <c r="B1037" t="s">
        <v>115</v>
      </c>
      <c r="C1037">
        <v>40</v>
      </c>
      <c r="D1037">
        <v>144.655737804534</v>
      </c>
    </row>
    <row r="1038" spans="1:4" x14ac:dyDescent="0.25">
      <c r="A1038">
        <v>2009</v>
      </c>
      <c r="B1038" t="s">
        <v>115</v>
      </c>
      <c r="C1038">
        <v>45</v>
      </c>
      <c r="D1038">
        <v>113.754809984161</v>
      </c>
    </row>
    <row r="1039" spans="1:4" x14ac:dyDescent="0.25">
      <c r="A1039">
        <v>2009</v>
      </c>
      <c r="B1039" t="s">
        <v>115</v>
      </c>
      <c r="C1039">
        <v>50</v>
      </c>
      <c r="D1039">
        <v>97.357720256714302</v>
      </c>
    </row>
    <row r="1040" spans="1:4" x14ac:dyDescent="0.25">
      <c r="A1040">
        <v>2009</v>
      </c>
      <c r="B1040" t="s">
        <v>115</v>
      </c>
      <c r="C1040">
        <v>55</v>
      </c>
      <c r="D1040">
        <v>66.613177017751894</v>
      </c>
    </row>
    <row r="1041" spans="1:4" x14ac:dyDescent="0.25">
      <c r="A1041">
        <v>2009</v>
      </c>
      <c r="B1041" t="s">
        <v>115</v>
      </c>
      <c r="C1041">
        <v>60</v>
      </c>
      <c r="D1041">
        <v>47.141632966408999</v>
      </c>
    </row>
    <row r="1042" spans="1:4" x14ac:dyDescent="0.25">
      <c r="A1042">
        <v>2009</v>
      </c>
      <c r="B1042" t="s">
        <v>115</v>
      </c>
      <c r="C1042">
        <v>65</v>
      </c>
      <c r="D1042">
        <v>45.240815221601899</v>
      </c>
    </row>
    <row r="1043" spans="1:4" x14ac:dyDescent="0.25">
      <c r="A1043">
        <v>2009</v>
      </c>
      <c r="B1043" t="s">
        <v>115</v>
      </c>
      <c r="C1043">
        <v>70</v>
      </c>
      <c r="D1043">
        <v>32.794179454893197</v>
      </c>
    </row>
    <row r="1044" spans="1:4" x14ac:dyDescent="0.25">
      <c r="A1044">
        <v>2009</v>
      </c>
      <c r="B1044" t="s">
        <v>115</v>
      </c>
      <c r="C1044">
        <v>75</v>
      </c>
      <c r="D1044">
        <v>26.6452708071008</v>
      </c>
    </row>
    <row r="1045" spans="1:4" x14ac:dyDescent="0.25">
      <c r="A1045">
        <v>2009</v>
      </c>
      <c r="B1045" t="s">
        <v>115</v>
      </c>
      <c r="C1045">
        <v>80</v>
      </c>
      <c r="D1045">
        <v>25.620452699135299</v>
      </c>
    </row>
    <row r="1046" spans="1:4" x14ac:dyDescent="0.25">
      <c r="A1046">
        <v>2009</v>
      </c>
      <c r="B1046" t="s">
        <v>115</v>
      </c>
      <c r="C1046">
        <v>85</v>
      </c>
      <c r="D1046">
        <v>25.288469368386</v>
      </c>
    </row>
    <row r="1047" spans="1:4" x14ac:dyDescent="0.25">
      <c r="A1047">
        <v>2010</v>
      </c>
      <c r="B1047" t="s">
        <v>115</v>
      </c>
      <c r="C1047">
        <v>0</v>
      </c>
      <c r="D1047">
        <v>31.177949121877401</v>
      </c>
    </row>
    <row r="1048" spans="1:4" x14ac:dyDescent="0.25">
      <c r="A1048">
        <v>2010</v>
      </c>
      <c r="B1048" t="s">
        <v>115</v>
      </c>
      <c r="C1048">
        <v>1</v>
      </c>
      <c r="D1048">
        <v>52.219225130238001</v>
      </c>
    </row>
    <row r="1049" spans="1:4" x14ac:dyDescent="0.25">
      <c r="A1049">
        <v>2010</v>
      </c>
      <c r="B1049" t="s">
        <v>115</v>
      </c>
      <c r="C1049">
        <v>5</v>
      </c>
      <c r="D1049">
        <v>32.229422207078997</v>
      </c>
    </row>
    <row r="1050" spans="1:4" x14ac:dyDescent="0.25">
      <c r="A1050">
        <v>2010</v>
      </c>
      <c r="B1050" t="s">
        <v>115</v>
      </c>
      <c r="C1050">
        <v>10</v>
      </c>
      <c r="D1050">
        <v>65.857658046606105</v>
      </c>
    </row>
    <row r="1051" spans="1:4" x14ac:dyDescent="0.25">
      <c r="A1051">
        <v>2010</v>
      </c>
      <c r="B1051" t="s">
        <v>115</v>
      </c>
      <c r="C1051">
        <v>15</v>
      </c>
      <c r="D1051">
        <v>307.30729019168899</v>
      </c>
    </row>
    <row r="1052" spans="1:4" x14ac:dyDescent="0.25">
      <c r="A1052">
        <v>2010</v>
      </c>
      <c r="B1052" t="s">
        <v>115</v>
      </c>
      <c r="C1052">
        <v>20</v>
      </c>
      <c r="D1052">
        <v>360.60271133322999</v>
      </c>
    </row>
    <row r="1053" spans="1:4" x14ac:dyDescent="0.25">
      <c r="A1053">
        <v>2010</v>
      </c>
      <c r="B1053" t="s">
        <v>115</v>
      </c>
      <c r="C1053">
        <v>25</v>
      </c>
      <c r="D1053">
        <v>325.68015984065102</v>
      </c>
    </row>
    <row r="1054" spans="1:4" x14ac:dyDescent="0.25">
      <c r="A1054">
        <v>2010</v>
      </c>
      <c r="B1054" t="s">
        <v>115</v>
      </c>
      <c r="C1054">
        <v>30</v>
      </c>
      <c r="D1054">
        <v>310.47102742816202</v>
      </c>
    </row>
    <row r="1055" spans="1:4" x14ac:dyDescent="0.25">
      <c r="A1055">
        <v>2010</v>
      </c>
      <c r="B1055" t="s">
        <v>115</v>
      </c>
      <c r="C1055">
        <v>35</v>
      </c>
      <c r="D1055">
        <v>232.699069054756</v>
      </c>
    </row>
    <row r="1056" spans="1:4" x14ac:dyDescent="0.25">
      <c r="A1056">
        <v>2010</v>
      </c>
      <c r="B1056" t="s">
        <v>115</v>
      </c>
      <c r="C1056">
        <v>40</v>
      </c>
      <c r="D1056">
        <v>197.697914215645</v>
      </c>
    </row>
    <row r="1057" spans="1:4" x14ac:dyDescent="0.25">
      <c r="A1057">
        <v>2010</v>
      </c>
      <c r="B1057" t="s">
        <v>115</v>
      </c>
      <c r="C1057">
        <v>45</v>
      </c>
      <c r="D1057">
        <v>157.778497304702</v>
      </c>
    </row>
    <row r="1058" spans="1:4" x14ac:dyDescent="0.25">
      <c r="A1058">
        <v>2010</v>
      </c>
      <c r="B1058" t="s">
        <v>115</v>
      </c>
      <c r="C1058">
        <v>50</v>
      </c>
      <c r="D1058">
        <v>105.55946746121001</v>
      </c>
    </row>
    <row r="1059" spans="1:4" x14ac:dyDescent="0.25">
      <c r="A1059">
        <v>2010</v>
      </c>
      <c r="B1059" t="s">
        <v>115</v>
      </c>
      <c r="C1059">
        <v>55</v>
      </c>
      <c r="D1059">
        <v>67.577820756778607</v>
      </c>
    </row>
    <row r="1060" spans="1:4" x14ac:dyDescent="0.25">
      <c r="A1060">
        <v>2010</v>
      </c>
      <c r="B1060" t="s">
        <v>115</v>
      </c>
      <c r="C1060">
        <v>60</v>
      </c>
      <c r="D1060">
        <v>56.314850630648898</v>
      </c>
    </row>
    <row r="1061" spans="1:4" x14ac:dyDescent="0.25">
      <c r="A1061">
        <v>2010</v>
      </c>
      <c r="B1061" t="s">
        <v>115</v>
      </c>
      <c r="C1061">
        <v>65</v>
      </c>
      <c r="D1061">
        <v>46.075786879621802</v>
      </c>
    </row>
    <row r="1062" spans="1:4" x14ac:dyDescent="0.25">
      <c r="A1062">
        <v>2010</v>
      </c>
      <c r="B1062" t="s">
        <v>115</v>
      </c>
      <c r="C1062">
        <v>70</v>
      </c>
      <c r="D1062">
        <v>41.980161379210998</v>
      </c>
    </row>
    <row r="1063" spans="1:4" x14ac:dyDescent="0.25">
      <c r="A1063">
        <v>2010</v>
      </c>
      <c r="B1063" t="s">
        <v>115</v>
      </c>
      <c r="C1063">
        <v>75</v>
      </c>
      <c r="D1063">
        <v>24.573753002465001</v>
      </c>
    </row>
    <row r="1064" spans="1:4" x14ac:dyDescent="0.25">
      <c r="A1064">
        <v>2010</v>
      </c>
      <c r="B1064" t="s">
        <v>115</v>
      </c>
      <c r="C1064">
        <v>80</v>
      </c>
      <c r="D1064">
        <v>13.3107828763352</v>
      </c>
    </row>
    <row r="1065" spans="1:4" x14ac:dyDescent="0.25">
      <c r="A1065">
        <v>2010</v>
      </c>
      <c r="B1065" t="s">
        <v>115</v>
      </c>
      <c r="C1065">
        <v>85</v>
      </c>
      <c r="D1065">
        <v>22.525940252259499</v>
      </c>
    </row>
    <row r="1066" spans="1:4" x14ac:dyDescent="0.25">
      <c r="A1066">
        <v>2011</v>
      </c>
      <c r="B1066" t="s">
        <v>115</v>
      </c>
      <c r="C1066">
        <v>0</v>
      </c>
      <c r="D1066">
        <v>32.5007142767627</v>
      </c>
    </row>
    <row r="1067" spans="1:4" x14ac:dyDescent="0.25">
      <c r="A1067">
        <v>2011</v>
      </c>
      <c r="B1067" t="s">
        <v>115</v>
      </c>
      <c r="C1067">
        <v>1</v>
      </c>
      <c r="D1067">
        <v>38.163717521956201</v>
      </c>
    </row>
    <row r="1068" spans="1:4" x14ac:dyDescent="0.25">
      <c r="A1068">
        <v>2011</v>
      </c>
      <c r="B1068" t="s">
        <v>115</v>
      </c>
      <c r="C1068">
        <v>5</v>
      </c>
      <c r="D1068">
        <v>40.930587042298001</v>
      </c>
    </row>
    <row r="1069" spans="1:4" x14ac:dyDescent="0.25">
      <c r="A1069">
        <v>2011</v>
      </c>
      <c r="B1069" t="s">
        <v>115</v>
      </c>
      <c r="C1069">
        <v>10</v>
      </c>
      <c r="D1069">
        <v>74.514658461619504</v>
      </c>
    </row>
    <row r="1070" spans="1:4" x14ac:dyDescent="0.25">
      <c r="A1070">
        <v>2011</v>
      </c>
      <c r="B1070" t="s">
        <v>115</v>
      </c>
      <c r="C1070">
        <v>15</v>
      </c>
      <c r="D1070">
        <v>317.99917625170002</v>
      </c>
    </row>
    <row r="1071" spans="1:4" x14ac:dyDescent="0.25">
      <c r="A1071">
        <v>2011</v>
      </c>
      <c r="B1071" t="s">
        <v>115</v>
      </c>
      <c r="C1071">
        <v>20</v>
      </c>
      <c r="D1071">
        <v>373.71714373049201</v>
      </c>
    </row>
    <row r="1072" spans="1:4" x14ac:dyDescent="0.25">
      <c r="A1072">
        <v>2011</v>
      </c>
      <c r="B1072" t="s">
        <v>115</v>
      </c>
      <c r="C1072">
        <v>25</v>
      </c>
      <c r="D1072">
        <v>395.08072255285998</v>
      </c>
    </row>
    <row r="1073" spans="1:4" x14ac:dyDescent="0.25">
      <c r="A1073">
        <v>2011</v>
      </c>
      <c r="B1073" t="s">
        <v>115</v>
      </c>
      <c r="C1073">
        <v>30</v>
      </c>
      <c r="D1073">
        <v>310.08792325866</v>
      </c>
    </row>
    <row r="1074" spans="1:4" x14ac:dyDescent="0.25">
      <c r="A1074">
        <v>2011</v>
      </c>
      <c r="B1074" t="s">
        <v>115</v>
      </c>
      <c r="C1074">
        <v>35</v>
      </c>
      <c r="D1074">
        <v>305.58559564344</v>
      </c>
    </row>
    <row r="1075" spans="1:4" x14ac:dyDescent="0.25">
      <c r="A1075">
        <v>2011</v>
      </c>
      <c r="B1075" t="s">
        <v>115</v>
      </c>
      <c r="C1075">
        <v>40</v>
      </c>
      <c r="D1075">
        <v>222.77730511040301</v>
      </c>
    </row>
    <row r="1076" spans="1:4" x14ac:dyDescent="0.25">
      <c r="A1076">
        <v>2011</v>
      </c>
      <c r="B1076" t="s">
        <v>115</v>
      </c>
      <c r="C1076">
        <v>45</v>
      </c>
      <c r="D1076">
        <v>177.586070699348</v>
      </c>
    </row>
    <row r="1077" spans="1:4" x14ac:dyDescent="0.25">
      <c r="A1077">
        <v>2011</v>
      </c>
      <c r="B1077" t="s">
        <v>115</v>
      </c>
      <c r="C1077">
        <v>50</v>
      </c>
      <c r="D1077">
        <v>128.14946098864701</v>
      </c>
    </row>
    <row r="1078" spans="1:4" x14ac:dyDescent="0.25">
      <c r="A1078">
        <v>2011</v>
      </c>
      <c r="B1078" t="s">
        <v>115</v>
      </c>
      <c r="C1078">
        <v>55</v>
      </c>
      <c r="D1078">
        <v>96.554205330549195</v>
      </c>
    </row>
    <row r="1079" spans="1:4" x14ac:dyDescent="0.25">
      <c r="A1079">
        <v>2011</v>
      </c>
      <c r="B1079" t="s">
        <v>115</v>
      </c>
      <c r="C1079">
        <v>60</v>
      </c>
      <c r="D1079">
        <v>57.722622751958802</v>
      </c>
    </row>
    <row r="1080" spans="1:4" x14ac:dyDescent="0.25">
      <c r="A1080">
        <v>2011</v>
      </c>
      <c r="B1080" t="s">
        <v>115</v>
      </c>
      <c r="C1080">
        <v>65</v>
      </c>
      <c r="D1080">
        <v>57.722622751958802</v>
      </c>
    </row>
    <row r="1081" spans="1:4" x14ac:dyDescent="0.25">
      <c r="A1081">
        <v>2011</v>
      </c>
      <c r="B1081" t="s">
        <v>115</v>
      </c>
      <c r="C1081">
        <v>70</v>
      </c>
      <c r="D1081">
        <v>40.051516796813701</v>
      </c>
    </row>
    <row r="1082" spans="1:4" x14ac:dyDescent="0.25">
      <c r="A1082">
        <v>2011</v>
      </c>
      <c r="B1082" t="s">
        <v>115</v>
      </c>
      <c r="C1082">
        <v>75</v>
      </c>
      <c r="D1082">
        <v>35.910356621137502</v>
      </c>
    </row>
    <row r="1083" spans="1:4" x14ac:dyDescent="0.25">
      <c r="A1083">
        <v>2011</v>
      </c>
      <c r="B1083" t="s">
        <v>115</v>
      </c>
      <c r="C1083">
        <v>80</v>
      </c>
      <c r="D1083">
        <v>27.2870580281987</v>
      </c>
    </row>
    <row r="1084" spans="1:4" x14ac:dyDescent="0.25">
      <c r="A1084">
        <v>2011</v>
      </c>
      <c r="B1084" t="s">
        <v>115</v>
      </c>
      <c r="C1084">
        <v>85</v>
      </c>
      <c r="D1084">
        <v>26.2831863281646</v>
      </c>
    </row>
    <row r="1085" spans="1:4" x14ac:dyDescent="0.25">
      <c r="A1085">
        <v>2012</v>
      </c>
      <c r="B1085" t="s">
        <v>115</v>
      </c>
      <c r="C1085">
        <v>0</v>
      </c>
      <c r="D1085">
        <v>34.1340966721245</v>
      </c>
    </row>
    <row r="1086" spans="1:4" x14ac:dyDescent="0.25">
      <c r="A1086">
        <v>2012</v>
      </c>
      <c r="B1086" t="s">
        <v>115</v>
      </c>
      <c r="C1086">
        <v>1</v>
      </c>
      <c r="D1086">
        <v>57.601288134210101</v>
      </c>
    </row>
    <row r="1087" spans="1:4" x14ac:dyDescent="0.25">
      <c r="A1087">
        <v>2012</v>
      </c>
      <c r="B1087" t="s">
        <v>115</v>
      </c>
      <c r="C1087">
        <v>5</v>
      </c>
      <c r="D1087">
        <v>27.733953546101201</v>
      </c>
    </row>
    <row r="1088" spans="1:4" x14ac:dyDescent="0.25">
      <c r="A1088">
        <v>2012</v>
      </c>
      <c r="B1088" t="s">
        <v>115</v>
      </c>
      <c r="C1088">
        <v>10</v>
      </c>
      <c r="D1088">
        <v>70.401574386256797</v>
      </c>
    </row>
    <row r="1089" spans="1:4" x14ac:dyDescent="0.25">
      <c r="A1089">
        <v>2012</v>
      </c>
      <c r="B1089" t="s">
        <v>115</v>
      </c>
      <c r="C1089">
        <v>15</v>
      </c>
      <c r="D1089">
        <v>382.03485334486101</v>
      </c>
    </row>
    <row r="1090" spans="1:4" x14ac:dyDescent="0.25">
      <c r="A1090">
        <v>2012</v>
      </c>
      <c r="B1090" t="s">
        <v>115</v>
      </c>
      <c r="C1090">
        <v>20</v>
      </c>
      <c r="D1090">
        <v>387.308070846909</v>
      </c>
    </row>
    <row r="1091" spans="1:4" x14ac:dyDescent="0.25">
      <c r="A1091">
        <v>2012</v>
      </c>
      <c r="B1091" t="s">
        <v>115</v>
      </c>
      <c r="C1091">
        <v>25</v>
      </c>
      <c r="D1091">
        <v>361.98942918464297</v>
      </c>
    </row>
    <row r="1092" spans="1:4" x14ac:dyDescent="0.25">
      <c r="A1092">
        <v>2012</v>
      </c>
      <c r="B1092" t="s">
        <v>115</v>
      </c>
      <c r="C1092">
        <v>30</v>
      </c>
      <c r="D1092">
        <v>316.00766881722302</v>
      </c>
    </row>
    <row r="1093" spans="1:4" x14ac:dyDescent="0.25">
      <c r="A1093">
        <v>2012</v>
      </c>
      <c r="B1093" t="s">
        <v>115</v>
      </c>
      <c r="C1093">
        <v>35</v>
      </c>
      <c r="D1093">
        <v>300.033515550007</v>
      </c>
    </row>
    <row r="1094" spans="1:4" x14ac:dyDescent="0.25">
      <c r="A1094">
        <v>2012</v>
      </c>
      <c r="B1094" t="s">
        <v>115</v>
      </c>
      <c r="C1094">
        <v>40</v>
      </c>
      <c r="D1094">
        <v>255.049541253575</v>
      </c>
    </row>
    <row r="1095" spans="1:4" x14ac:dyDescent="0.25">
      <c r="A1095">
        <v>2012</v>
      </c>
      <c r="B1095" t="s">
        <v>115</v>
      </c>
      <c r="C1095">
        <v>45</v>
      </c>
      <c r="D1095">
        <v>174.93724544463799</v>
      </c>
    </row>
    <row r="1096" spans="1:4" x14ac:dyDescent="0.25">
      <c r="A1096">
        <v>2012</v>
      </c>
      <c r="B1096" t="s">
        <v>115</v>
      </c>
      <c r="C1096">
        <v>50</v>
      </c>
      <c r="D1096">
        <v>131.323193418111</v>
      </c>
    </row>
    <row r="1097" spans="1:4" x14ac:dyDescent="0.25">
      <c r="A1097">
        <v>2012</v>
      </c>
      <c r="B1097" t="s">
        <v>115</v>
      </c>
      <c r="C1097">
        <v>55</v>
      </c>
      <c r="D1097">
        <v>79.042933388378501</v>
      </c>
    </row>
    <row r="1098" spans="1:4" x14ac:dyDescent="0.25">
      <c r="A1098">
        <v>2012</v>
      </c>
      <c r="B1098" t="s">
        <v>115</v>
      </c>
      <c r="C1098">
        <v>60</v>
      </c>
      <c r="D1098">
        <v>69.334883865252905</v>
      </c>
    </row>
    <row r="1099" spans="1:4" x14ac:dyDescent="0.25">
      <c r="A1099">
        <v>2012</v>
      </c>
      <c r="B1099" t="s">
        <v>115</v>
      </c>
      <c r="C1099">
        <v>65</v>
      </c>
      <c r="D1099">
        <v>52.267835529190698</v>
      </c>
    </row>
    <row r="1100" spans="1:4" x14ac:dyDescent="0.25">
      <c r="A1100">
        <v>2012</v>
      </c>
      <c r="B1100" t="s">
        <v>115</v>
      </c>
      <c r="C1100">
        <v>70</v>
      </c>
      <c r="D1100">
        <v>44.801001882163398</v>
      </c>
    </row>
    <row r="1101" spans="1:4" x14ac:dyDescent="0.25">
      <c r="A1101">
        <v>2012</v>
      </c>
      <c r="B1101" t="s">
        <v>115</v>
      </c>
      <c r="C1101">
        <v>75</v>
      </c>
      <c r="D1101">
        <v>30.934025109112799</v>
      </c>
    </row>
    <row r="1102" spans="1:4" x14ac:dyDescent="0.25">
      <c r="A1102">
        <v>2012</v>
      </c>
      <c r="B1102" t="s">
        <v>115</v>
      </c>
      <c r="C1102">
        <v>80</v>
      </c>
      <c r="D1102">
        <v>17.0670483360623</v>
      </c>
    </row>
    <row r="1103" spans="1:4" x14ac:dyDescent="0.25">
      <c r="A1103">
        <v>2012</v>
      </c>
      <c r="B1103" t="s">
        <v>115</v>
      </c>
      <c r="C1103">
        <v>85</v>
      </c>
      <c r="D1103">
        <v>16.0003578150584</v>
      </c>
    </row>
    <row r="1104" spans="1:4" x14ac:dyDescent="0.25">
      <c r="A1104">
        <v>2013</v>
      </c>
      <c r="B1104" t="s">
        <v>115</v>
      </c>
      <c r="C1104">
        <v>0</v>
      </c>
      <c r="D1104">
        <v>47.878239134839703</v>
      </c>
    </row>
    <row r="1105" spans="1:4" x14ac:dyDescent="0.25">
      <c r="A1105">
        <v>2013</v>
      </c>
      <c r="B1105" t="s">
        <v>115</v>
      </c>
      <c r="C1105">
        <v>1</v>
      </c>
      <c r="D1105">
        <v>49.4036770082121</v>
      </c>
    </row>
    <row r="1106" spans="1:4" x14ac:dyDescent="0.25">
      <c r="A1106">
        <v>2013</v>
      </c>
      <c r="B1106" t="s">
        <v>115</v>
      </c>
      <c r="C1106">
        <v>5</v>
      </c>
      <c r="D1106">
        <v>35.7388301761534</v>
      </c>
    </row>
    <row r="1107" spans="1:4" x14ac:dyDescent="0.25">
      <c r="A1107">
        <v>2013</v>
      </c>
      <c r="B1107" t="s">
        <v>115</v>
      </c>
      <c r="C1107">
        <v>10</v>
      </c>
      <c r="D1107">
        <v>56.761671456243697</v>
      </c>
    </row>
    <row r="1108" spans="1:4" x14ac:dyDescent="0.25">
      <c r="A1108">
        <v>2013</v>
      </c>
      <c r="B1108" t="s">
        <v>115</v>
      </c>
      <c r="C1108">
        <v>15</v>
      </c>
      <c r="D1108">
        <v>288.01292553723601</v>
      </c>
    </row>
    <row r="1109" spans="1:4" x14ac:dyDescent="0.25">
      <c r="A1109">
        <v>2013</v>
      </c>
      <c r="B1109" t="s">
        <v>115</v>
      </c>
      <c r="C1109">
        <v>20</v>
      </c>
      <c r="D1109">
        <v>380.51342716963399</v>
      </c>
    </row>
    <row r="1110" spans="1:4" x14ac:dyDescent="0.25">
      <c r="A1110">
        <v>2013</v>
      </c>
      <c r="B1110" t="s">
        <v>115</v>
      </c>
      <c r="C1110">
        <v>25</v>
      </c>
      <c r="D1110">
        <v>330.26097389024198</v>
      </c>
    </row>
    <row r="1111" spans="1:4" x14ac:dyDescent="0.25">
      <c r="A1111">
        <v>2013</v>
      </c>
      <c r="B1111" t="s">
        <v>115</v>
      </c>
      <c r="C1111">
        <v>30</v>
      </c>
      <c r="D1111">
        <v>329.33193099005302</v>
      </c>
    </row>
    <row r="1112" spans="1:4" x14ac:dyDescent="0.25">
      <c r="A1112">
        <v>2013</v>
      </c>
      <c r="B1112" t="s">
        <v>115</v>
      </c>
      <c r="C1112">
        <v>35</v>
      </c>
      <c r="D1112">
        <v>279.81090294299702</v>
      </c>
    </row>
    <row r="1113" spans="1:4" x14ac:dyDescent="0.25">
      <c r="A1113">
        <v>2013</v>
      </c>
      <c r="B1113" t="s">
        <v>115</v>
      </c>
      <c r="C1113">
        <v>40</v>
      </c>
      <c r="D1113">
        <v>207.173499923165</v>
      </c>
    </row>
    <row r="1114" spans="1:4" x14ac:dyDescent="0.25">
      <c r="A1114">
        <v>2013</v>
      </c>
      <c r="B1114" t="s">
        <v>115</v>
      </c>
      <c r="C1114">
        <v>45</v>
      </c>
      <c r="D1114">
        <v>148.21103102463599</v>
      </c>
    </row>
    <row r="1115" spans="1:4" x14ac:dyDescent="0.25">
      <c r="A1115">
        <v>2013</v>
      </c>
      <c r="B1115" t="s">
        <v>115</v>
      </c>
      <c r="C1115">
        <v>50</v>
      </c>
      <c r="D1115">
        <v>124.152443593854</v>
      </c>
    </row>
    <row r="1116" spans="1:4" x14ac:dyDescent="0.25">
      <c r="A1116">
        <v>2013</v>
      </c>
      <c r="B1116" t="s">
        <v>115</v>
      </c>
      <c r="C1116">
        <v>55</v>
      </c>
      <c r="D1116">
        <v>84.091365120361004</v>
      </c>
    </row>
    <row r="1117" spans="1:4" x14ac:dyDescent="0.25">
      <c r="A1117">
        <v>2013</v>
      </c>
      <c r="B1117" t="s">
        <v>115</v>
      </c>
      <c r="C1117">
        <v>60</v>
      </c>
      <c r="D1117">
        <v>70.557911046302905</v>
      </c>
    </row>
    <row r="1118" spans="1:4" x14ac:dyDescent="0.25">
      <c r="A1118">
        <v>2013</v>
      </c>
      <c r="B1118" t="s">
        <v>115</v>
      </c>
      <c r="C1118">
        <v>65</v>
      </c>
      <c r="D1118">
        <v>65.170807968279803</v>
      </c>
    </row>
    <row r="1119" spans="1:4" x14ac:dyDescent="0.25">
      <c r="A1119">
        <v>2013</v>
      </c>
      <c r="B1119" t="s">
        <v>115</v>
      </c>
      <c r="C1119">
        <v>70</v>
      </c>
      <c r="D1119">
        <v>58.8639555842527</v>
      </c>
    </row>
    <row r="1120" spans="1:4" x14ac:dyDescent="0.25">
      <c r="A1120">
        <v>2013</v>
      </c>
      <c r="B1120" t="s">
        <v>115</v>
      </c>
      <c r="C1120">
        <v>75</v>
      </c>
      <c r="D1120">
        <v>39.943398432171499</v>
      </c>
    </row>
    <row r="1121" spans="1:4" x14ac:dyDescent="0.25">
      <c r="A1121">
        <v>2013</v>
      </c>
      <c r="B1121" t="s">
        <v>115</v>
      </c>
      <c r="C1121">
        <v>80</v>
      </c>
      <c r="D1121">
        <v>26.278551600112799</v>
      </c>
    </row>
    <row r="1122" spans="1:4" x14ac:dyDescent="0.25">
      <c r="A1122">
        <v>2013</v>
      </c>
      <c r="B1122" t="s">
        <v>115</v>
      </c>
      <c r="C1122">
        <v>85</v>
      </c>
      <c r="D1122">
        <v>17.245299487574002</v>
      </c>
    </row>
    <row r="1123" spans="1:4" x14ac:dyDescent="0.25">
      <c r="A1123">
        <v>2014</v>
      </c>
      <c r="B1123" t="s">
        <v>115</v>
      </c>
      <c r="C1123">
        <v>0</v>
      </c>
      <c r="D1123">
        <v>37.182517329409002</v>
      </c>
    </row>
    <row r="1124" spans="1:4" x14ac:dyDescent="0.25">
      <c r="A1124">
        <v>2014</v>
      </c>
      <c r="B1124" t="s">
        <v>115</v>
      </c>
      <c r="C1124">
        <v>1</v>
      </c>
      <c r="D1124">
        <v>45.681378433273899</v>
      </c>
    </row>
    <row r="1125" spans="1:4" x14ac:dyDescent="0.25">
      <c r="A1125">
        <v>2014</v>
      </c>
      <c r="B1125" t="s">
        <v>115</v>
      </c>
      <c r="C1125">
        <v>5</v>
      </c>
      <c r="D1125">
        <v>33.995444415459602</v>
      </c>
    </row>
    <row r="1126" spans="1:4" x14ac:dyDescent="0.25">
      <c r="A1126">
        <v>2014</v>
      </c>
      <c r="B1126" t="s">
        <v>115</v>
      </c>
      <c r="C1126">
        <v>10</v>
      </c>
      <c r="D1126">
        <v>52.0555242611726</v>
      </c>
    </row>
    <row r="1127" spans="1:4" x14ac:dyDescent="0.25">
      <c r="A1127">
        <v>2014</v>
      </c>
      <c r="B1127" t="s">
        <v>115</v>
      </c>
      <c r="C1127">
        <v>15</v>
      </c>
      <c r="D1127">
        <v>276.21298587561</v>
      </c>
    </row>
    <row r="1128" spans="1:4" x14ac:dyDescent="0.25">
      <c r="A1128">
        <v>2014</v>
      </c>
      <c r="B1128" t="s">
        <v>115</v>
      </c>
      <c r="C1128">
        <v>20</v>
      </c>
      <c r="D1128">
        <v>314.45786084300198</v>
      </c>
    </row>
    <row r="1129" spans="1:4" x14ac:dyDescent="0.25">
      <c r="A1129">
        <v>2014</v>
      </c>
      <c r="B1129" t="s">
        <v>115</v>
      </c>
      <c r="C1129">
        <v>25</v>
      </c>
      <c r="D1129">
        <v>311.27078792905201</v>
      </c>
    </row>
    <row r="1130" spans="1:4" x14ac:dyDescent="0.25">
      <c r="A1130">
        <v>2014</v>
      </c>
      <c r="B1130" t="s">
        <v>115</v>
      </c>
      <c r="C1130">
        <v>30</v>
      </c>
      <c r="D1130">
        <v>297.57196575505998</v>
      </c>
    </row>
    <row r="1131" spans="1:4" x14ac:dyDescent="0.25">
      <c r="A1131">
        <v>2014</v>
      </c>
      <c r="B1131" t="s">
        <v>115</v>
      </c>
      <c r="C1131">
        <v>35</v>
      </c>
      <c r="D1131">
        <v>230.73241894707601</v>
      </c>
    </row>
    <row r="1132" spans="1:4" x14ac:dyDescent="0.25">
      <c r="A1132">
        <v>2014</v>
      </c>
      <c r="B1132" t="s">
        <v>115</v>
      </c>
      <c r="C1132">
        <v>40</v>
      </c>
      <c r="D1132">
        <v>177.41372554317999</v>
      </c>
    </row>
    <row r="1133" spans="1:4" x14ac:dyDescent="0.25">
      <c r="A1133">
        <v>2014</v>
      </c>
      <c r="B1133" t="s">
        <v>115</v>
      </c>
      <c r="C1133">
        <v>45</v>
      </c>
      <c r="D1133">
        <v>159.35364569746699</v>
      </c>
    </row>
    <row r="1134" spans="1:4" x14ac:dyDescent="0.25">
      <c r="A1134">
        <v>2014</v>
      </c>
      <c r="B1134" t="s">
        <v>115</v>
      </c>
      <c r="C1134">
        <v>50</v>
      </c>
      <c r="D1134">
        <v>106.34878056831</v>
      </c>
    </row>
    <row r="1135" spans="1:4" x14ac:dyDescent="0.25">
      <c r="A1135">
        <v>2014</v>
      </c>
      <c r="B1135" t="s">
        <v>115</v>
      </c>
      <c r="C1135">
        <v>55</v>
      </c>
      <c r="D1135">
        <v>80.739180486716606</v>
      </c>
    </row>
    <row r="1136" spans="1:4" x14ac:dyDescent="0.25">
      <c r="A1136">
        <v>2014</v>
      </c>
      <c r="B1136" t="s">
        <v>115</v>
      </c>
      <c r="C1136">
        <v>60</v>
      </c>
      <c r="D1136">
        <v>57.367312451088097</v>
      </c>
    </row>
    <row r="1137" spans="1:4" x14ac:dyDescent="0.25">
      <c r="A1137">
        <v>2014</v>
      </c>
      <c r="B1137" t="s">
        <v>115</v>
      </c>
      <c r="C1137">
        <v>65</v>
      </c>
      <c r="D1137">
        <v>61.616743003020602</v>
      </c>
    </row>
    <row r="1138" spans="1:4" x14ac:dyDescent="0.25">
      <c r="A1138">
        <v>2014</v>
      </c>
      <c r="B1138" t="s">
        <v>115</v>
      </c>
      <c r="C1138">
        <v>70</v>
      </c>
      <c r="D1138">
        <v>39.307232605375198</v>
      </c>
    </row>
    <row r="1139" spans="1:4" x14ac:dyDescent="0.25">
      <c r="A1139">
        <v>2014</v>
      </c>
      <c r="B1139" t="s">
        <v>115</v>
      </c>
      <c r="C1139">
        <v>75</v>
      </c>
      <c r="D1139">
        <v>49.930808985206298</v>
      </c>
    </row>
    <row r="1140" spans="1:4" x14ac:dyDescent="0.25">
      <c r="A1140">
        <v>2014</v>
      </c>
      <c r="B1140" t="s">
        <v>115</v>
      </c>
      <c r="C1140">
        <v>80</v>
      </c>
      <c r="D1140">
        <v>26.558940949577799</v>
      </c>
    </row>
    <row r="1141" spans="1:4" x14ac:dyDescent="0.25">
      <c r="A1141">
        <v>2014</v>
      </c>
      <c r="B1141" t="s">
        <v>115</v>
      </c>
      <c r="C1141">
        <v>85</v>
      </c>
      <c r="D1141">
        <v>32.933086777476497</v>
      </c>
    </row>
    <row r="1142" spans="1:4" x14ac:dyDescent="0.25">
      <c r="A1142">
        <v>2015</v>
      </c>
      <c r="B1142" t="s">
        <v>115</v>
      </c>
      <c r="C1142">
        <v>0</v>
      </c>
      <c r="D1142">
        <v>30.498426107202899</v>
      </c>
    </row>
    <row r="1143" spans="1:4" x14ac:dyDescent="0.25">
      <c r="A1143">
        <v>2015</v>
      </c>
      <c r="B1143" t="s">
        <v>115</v>
      </c>
      <c r="C1143">
        <v>1</v>
      </c>
      <c r="D1143">
        <v>47.632555150984302</v>
      </c>
    </row>
    <row r="1144" spans="1:4" x14ac:dyDescent="0.25">
      <c r="A1144">
        <v>2015</v>
      </c>
      <c r="B1144" t="s">
        <v>115</v>
      </c>
      <c r="C1144">
        <v>5</v>
      </c>
      <c r="D1144">
        <v>35.2066711985536</v>
      </c>
    </row>
    <row r="1145" spans="1:4" x14ac:dyDescent="0.25">
      <c r="A1145">
        <v>2015</v>
      </c>
      <c r="B1145" t="s">
        <v>115</v>
      </c>
      <c r="C1145">
        <v>10</v>
      </c>
      <c r="D1145">
        <v>40.384122845399702</v>
      </c>
    </row>
    <row r="1146" spans="1:4" x14ac:dyDescent="0.25">
      <c r="A1146">
        <v>2015</v>
      </c>
      <c r="B1146" t="s">
        <v>115</v>
      </c>
      <c r="C1146">
        <v>15</v>
      </c>
      <c r="D1146">
        <v>253.69513069545999</v>
      </c>
    </row>
    <row r="1147" spans="1:4" x14ac:dyDescent="0.25">
      <c r="A1147">
        <v>2015</v>
      </c>
      <c r="B1147" t="s">
        <v>115</v>
      </c>
      <c r="C1147">
        <v>20</v>
      </c>
      <c r="D1147">
        <v>308.68597081067998</v>
      </c>
    </row>
    <row r="1148" spans="1:4" x14ac:dyDescent="0.25">
      <c r="A1148">
        <v>2015</v>
      </c>
      <c r="B1148" t="s">
        <v>115</v>
      </c>
      <c r="C1148">
        <v>25</v>
      </c>
      <c r="D1148">
        <v>341.711808691844</v>
      </c>
    </row>
    <row r="1149" spans="1:4" x14ac:dyDescent="0.25">
      <c r="A1149">
        <v>2015</v>
      </c>
      <c r="B1149" t="s">
        <v>115</v>
      </c>
      <c r="C1149">
        <v>30</v>
      </c>
      <c r="D1149">
        <v>261.04180982446297</v>
      </c>
    </row>
    <row r="1150" spans="1:4" x14ac:dyDescent="0.25">
      <c r="A1150">
        <v>2015</v>
      </c>
      <c r="B1150" t="s">
        <v>115</v>
      </c>
      <c r="C1150">
        <v>35</v>
      </c>
      <c r="D1150">
        <v>269.33741927651897</v>
      </c>
    </row>
    <row r="1151" spans="1:4" x14ac:dyDescent="0.25">
      <c r="A1151">
        <v>2015</v>
      </c>
      <c r="B1151" t="s">
        <v>115</v>
      </c>
      <c r="C1151">
        <v>40</v>
      </c>
      <c r="D1151">
        <v>193.823239464484</v>
      </c>
    </row>
    <row r="1152" spans="1:4" x14ac:dyDescent="0.25">
      <c r="A1152">
        <v>2015</v>
      </c>
      <c r="B1152" t="s">
        <v>115</v>
      </c>
      <c r="C1152">
        <v>45</v>
      </c>
      <c r="D1152">
        <v>140.92242013397899</v>
      </c>
    </row>
    <row r="1153" spans="1:4" x14ac:dyDescent="0.25">
      <c r="A1153">
        <v>2015</v>
      </c>
      <c r="B1153" t="s">
        <v>115</v>
      </c>
      <c r="C1153">
        <v>50</v>
      </c>
      <c r="D1153">
        <v>104.68460414979999</v>
      </c>
    </row>
    <row r="1154" spans="1:4" x14ac:dyDescent="0.25">
      <c r="A1154">
        <v>2015</v>
      </c>
      <c r="B1154" t="s">
        <v>115</v>
      </c>
      <c r="C1154">
        <v>55</v>
      </c>
      <c r="D1154">
        <v>77.766018695581295</v>
      </c>
    </row>
    <row r="1155" spans="1:4" x14ac:dyDescent="0.25">
      <c r="A1155">
        <v>2015</v>
      </c>
      <c r="B1155" t="s">
        <v>115</v>
      </c>
      <c r="C1155">
        <v>60</v>
      </c>
      <c r="D1155">
        <v>64.200400420891896</v>
      </c>
    </row>
    <row r="1156" spans="1:4" x14ac:dyDescent="0.25">
      <c r="A1156">
        <v>2015</v>
      </c>
      <c r="B1156" t="s">
        <v>115</v>
      </c>
      <c r="C1156">
        <v>65</v>
      </c>
      <c r="D1156">
        <v>45.561574492245903</v>
      </c>
    </row>
    <row r="1157" spans="1:4" x14ac:dyDescent="0.25">
      <c r="A1157">
        <v>2015</v>
      </c>
      <c r="B1157" t="s">
        <v>115</v>
      </c>
      <c r="C1157">
        <v>70</v>
      </c>
      <c r="D1157">
        <v>43.490593833507397</v>
      </c>
    </row>
    <row r="1158" spans="1:4" x14ac:dyDescent="0.25">
      <c r="A1158">
        <v>2015</v>
      </c>
      <c r="B1158" t="s">
        <v>115</v>
      </c>
      <c r="C1158">
        <v>75</v>
      </c>
      <c r="D1158">
        <v>32.100200210445898</v>
      </c>
    </row>
    <row r="1159" spans="1:4" x14ac:dyDescent="0.25">
      <c r="A1159">
        <v>2015</v>
      </c>
      <c r="B1159" t="s">
        <v>115</v>
      </c>
      <c r="C1159">
        <v>80</v>
      </c>
      <c r="D1159">
        <v>27.958238892969</v>
      </c>
    </row>
    <row r="1160" spans="1:4" x14ac:dyDescent="0.25">
      <c r="A1160">
        <v>2015</v>
      </c>
      <c r="B1160" t="s">
        <v>115</v>
      </c>
      <c r="C1160">
        <v>85</v>
      </c>
      <c r="D1160">
        <v>24.851767904861401</v>
      </c>
    </row>
    <row r="1161" spans="1:4" x14ac:dyDescent="0.25">
      <c r="A1161">
        <v>2016</v>
      </c>
      <c r="B1161" t="s">
        <v>115</v>
      </c>
      <c r="C1161">
        <v>0</v>
      </c>
      <c r="D1161">
        <v>23.053605379194298</v>
      </c>
    </row>
    <row r="1162" spans="1:4" x14ac:dyDescent="0.25">
      <c r="A1162">
        <v>2016</v>
      </c>
      <c r="B1162" t="s">
        <v>115</v>
      </c>
      <c r="C1162">
        <v>1</v>
      </c>
      <c r="D1162">
        <v>38.771972683190398</v>
      </c>
    </row>
    <row r="1163" spans="1:4" x14ac:dyDescent="0.25">
      <c r="A1163">
        <v>2016</v>
      </c>
      <c r="B1163" t="s">
        <v>115</v>
      </c>
      <c r="C1163">
        <v>5</v>
      </c>
      <c r="D1163">
        <v>30.3888434543925</v>
      </c>
    </row>
    <row r="1164" spans="1:4" x14ac:dyDescent="0.25">
      <c r="A1164">
        <v>2016</v>
      </c>
      <c r="B1164" t="s">
        <v>115</v>
      </c>
      <c r="C1164">
        <v>10</v>
      </c>
      <c r="D1164">
        <v>76.496054212781004</v>
      </c>
    </row>
    <row r="1165" spans="1:4" x14ac:dyDescent="0.25">
      <c r="A1165">
        <v>2016</v>
      </c>
      <c r="B1165" t="s">
        <v>115</v>
      </c>
      <c r="C1165">
        <v>15</v>
      </c>
      <c r="D1165">
        <v>271.40380878233299</v>
      </c>
    </row>
    <row r="1166" spans="1:4" x14ac:dyDescent="0.25">
      <c r="A1166">
        <v>2016</v>
      </c>
      <c r="B1166" t="s">
        <v>115</v>
      </c>
      <c r="C1166">
        <v>20</v>
      </c>
      <c r="D1166">
        <v>424.51822150680198</v>
      </c>
    </row>
    <row r="1167" spans="1:4" x14ac:dyDescent="0.25">
      <c r="A1167">
        <v>2016</v>
      </c>
      <c r="B1167" t="s">
        <v>115</v>
      </c>
      <c r="C1167">
        <v>25</v>
      </c>
      <c r="D1167">
        <v>401.56096740583399</v>
      </c>
    </row>
    <row r="1168" spans="1:4" x14ac:dyDescent="0.25">
      <c r="A1168">
        <v>2016</v>
      </c>
      <c r="B1168" t="s">
        <v>115</v>
      </c>
      <c r="C1168">
        <v>30</v>
      </c>
      <c r="D1168">
        <v>336.37306030551599</v>
      </c>
    </row>
    <row r="1169" spans="1:4" x14ac:dyDescent="0.25">
      <c r="A1169">
        <v>2016</v>
      </c>
      <c r="B1169" t="s">
        <v>115</v>
      </c>
      <c r="C1169">
        <v>35</v>
      </c>
      <c r="D1169">
        <v>289.31540379730001</v>
      </c>
    </row>
    <row r="1170" spans="1:4" x14ac:dyDescent="0.25">
      <c r="A1170">
        <v>2016</v>
      </c>
      <c r="B1170" t="s">
        <v>115</v>
      </c>
      <c r="C1170">
        <v>40</v>
      </c>
      <c r="D1170">
        <v>243.30446137827499</v>
      </c>
    </row>
    <row r="1171" spans="1:4" x14ac:dyDescent="0.25">
      <c r="A1171">
        <v>2016</v>
      </c>
      <c r="B1171" t="s">
        <v>115</v>
      </c>
      <c r="C1171">
        <v>45</v>
      </c>
      <c r="D1171">
        <v>186.634799366354</v>
      </c>
    </row>
    <row r="1172" spans="1:4" x14ac:dyDescent="0.25">
      <c r="A1172">
        <v>2016</v>
      </c>
      <c r="B1172" t="s">
        <v>115</v>
      </c>
      <c r="C1172">
        <v>50</v>
      </c>
      <c r="D1172">
        <v>155.087890732761</v>
      </c>
    </row>
    <row r="1173" spans="1:4" x14ac:dyDescent="0.25">
      <c r="A1173">
        <v>2016</v>
      </c>
      <c r="B1173" t="s">
        <v>115</v>
      </c>
      <c r="C1173">
        <v>55</v>
      </c>
      <c r="D1173">
        <v>107.00803695019999</v>
      </c>
    </row>
    <row r="1174" spans="1:4" x14ac:dyDescent="0.25">
      <c r="A1174">
        <v>2016</v>
      </c>
      <c r="B1174" t="s">
        <v>115</v>
      </c>
      <c r="C1174">
        <v>60</v>
      </c>
      <c r="D1174">
        <v>62.8734692159844</v>
      </c>
    </row>
    <row r="1175" spans="1:4" x14ac:dyDescent="0.25">
      <c r="A1175">
        <v>2016</v>
      </c>
      <c r="B1175" t="s">
        <v>115</v>
      </c>
      <c r="C1175">
        <v>65</v>
      </c>
      <c r="D1175">
        <v>46.107210758388497</v>
      </c>
    </row>
    <row r="1176" spans="1:4" x14ac:dyDescent="0.25">
      <c r="A1176">
        <v>2016</v>
      </c>
      <c r="B1176" t="s">
        <v>115</v>
      </c>
      <c r="C1176">
        <v>70</v>
      </c>
      <c r="D1176">
        <v>57.634013447985701</v>
      </c>
    </row>
    <row r="1177" spans="1:4" x14ac:dyDescent="0.25">
      <c r="A1177">
        <v>2016</v>
      </c>
      <c r="B1177" t="s">
        <v>115</v>
      </c>
      <c r="C1177">
        <v>75</v>
      </c>
      <c r="D1177">
        <v>39.819863836790098</v>
      </c>
    </row>
    <row r="1178" spans="1:4" x14ac:dyDescent="0.25">
      <c r="A1178">
        <v>2016</v>
      </c>
      <c r="B1178" t="s">
        <v>115</v>
      </c>
      <c r="C1178">
        <v>80</v>
      </c>
      <c r="D1178">
        <v>33.5325169151917</v>
      </c>
    </row>
    <row r="1179" spans="1:4" x14ac:dyDescent="0.25">
      <c r="A1179">
        <v>2016</v>
      </c>
      <c r="B1179" t="s">
        <v>115</v>
      </c>
      <c r="C1179">
        <v>85</v>
      </c>
      <c r="D1179">
        <v>27.245169993593201</v>
      </c>
    </row>
    <row r="1180" spans="1:4" x14ac:dyDescent="0.25">
      <c r="A1180">
        <v>2017</v>
      </c>
      <c r="B1180" t="s">
        <v>115</v>
      </c>
      <c r="C1180">
        <v>0</v>
      </c>
      <c r="D1180">
        <v>23.396164653720401</v>
      </c>
    </row>
    <row r="1181" spans="1:4" x14ac:dyDescent="0.25">
      <c r="A1181">
        <v>2017</v>
      </c>
      <c r="B1181" t="s">
        <v>115</v>
      </c>
      <c r="C1181">
        <v>1</v>
      </c>
      <c r="D1181">
        <v>45.856482721291997</v>
      </c>
    </row>
    <row r="1182" spans="1:4" x14ac:dyDescent="0.25">
      <c r="A1182">
        <v>2017</v>
      </c>
      <c r="B1182" t="s">
        <v>115</v>
      </c>
      <c r="C1182">
        <v>5</v>
      </c>
      <c r="D1182">
        <v>30.223590884487901</v>
      </c>
    </row>
    <row r="1183" spans="1:4" x14ac:dyDescent="0.25">
      <c r="A1183">
        <v>2017</v>
      </c>
      <c r="B1183" t="s">
        <v>115</v>
      </c>
      <c r="C1183">
        <v>10</v>
      </c>
      <c r="D1183">
        <v>92.7551582317043</v>
      </c>
    </row>
    <row r="1184" spans="1:4" x14ac:dyDescent="0.25">
      <c r="A1184">
        <v>2017</v>
      </c>
      <c r="B1184" t="s">
        <v>115</v>
      </c>
      <c r="C1184">
        <v>15</v>
      </c>
      <c r="D1184">
        <v>340.797042042329</v>
      </c>
    </row>
    <row r="1185" spans="1:4" x14ac:dyDescent="0.25">
      <c r="A1185">
        <v>2017</v>
      </c>
      <c r="B1185" t="s">
        <v>115</v>
      </c>
      <c r="C1185">
        <v>20</v>
      </c>
      <c r="D1185">
        <v>527.46269215546602</v>
      </c>
    </row>
    <row r="1186" spans="1:4" x14ac:dyDescent="0.25">
      <c r="A1186">
        <v>2017</v>
      </c>
      <c r="B1186" t="s">
        <v>115</v>
      </c>
      <c r="C1186">
        <v>25</v>
      </c>
      <c r="D1186">
        <v>465.95593422427203</v>
      </c>
    </row>
    <row r="1187" spans="1:4" x14ac:dyDescent="0.25">
      <c r="A1187">
        <v>2017</v>
      </c>
      <c r="B1187" t="s">
        <v>115</v>
      </c>
      <c r="C1187">
        <v>30</v>
      </c>
      <c r="D1187">
        <v>411.847143635549</v>
      </c>
    </row>
    <row r="1188" spans="1:4" x14ac:dyDescent="0.25">
      <c r="A1188">
        <v>2017</v>
      </c>
      <c r="B1188" t="s">
        <v>115</v>
      </c>
      <c r="C1188">
        <v>35</v>
      </c>
      <c r="D1188">
        <v>401.64697836469202</v>
      </c>
    </row>
    <row r="1189" spans="1:4" x14ac:dyDescent="0.25">
      <c r="A1189">
        <v>2017</v>
      </c>
      <c r="B1189" t="s">
        <v>115</v>
      </c>
      <c r="C1189">
        <v>40</v>
      </c>
      <c r="D1189">
        <v>295.11925702435201</v>
      </c>
    </row>
    <row r="1190" spans="1:4" x14ac:dyDescent="0.25">
      <c r="A1190">
        <v>2017</v>
      </c>
      <c r="B1190" t="s">
        <v>115</v>
      </c>
      <c r="C1190">
        <v>45</v>
      </c>
      <c r="D1190">
        <v>239.70434149766299</v>
      </c>
    </row>
    <row r="1191" spans="1:4" x14ac:dyDescent="0.25">
      <c r="A1191">
        <v>2017</v>
      </c>
      <c r="B1191" t="s">
        <v>115</v>
      </c>
      <c r="C1191">
        <v>50</v>
      </c>
      <c r="D1191">
        <v>166.75084625924401</v>
      </c>
    </row>
    <row r="1192" spans="1:4" x14ac:dyDescent="0.25">
      <c r="A1192">
        <v>2017</v>
      </c>
      <c r="B1192" t="s">
        <v>115</v>
      </c>
      <c r="C1192">
        <v>55</v>
      </c>
      <c r="D1192">
        <v>115.68339959235</v>
      </c>
    </row>
    <row r="1193" spans="1:4" x14ac:dyDescent="0.25">
      <c r="A1193">
        <v>2017</v>
      </c>
      <c r="B1193" t="s">
        <v>115</v>
      </c>
      <c r="C1193">
        <v>60</v>
      </c>
      <c r="D1193">
        <v>89.628579864343493</v>
      </c>
    </row>
    <row r="1194" spans="1:4" x14ac:dyDescent="0.25">
      <c r="A1194">
        <v>2017</v>
      </c>
      <c r="B1194" t="s">
        <v>115</v>
      </c>
      <c r="C1194">
        <v>65</v>
      </c>
      <c r="D1194">
        <v>63.713790445007</v>
      </c>
    </row>
    <row r="1195" spans="1:4" x14ac:dyDescent="0.25">
      <c r="A1195">
        <v>2017</v>
      </c>
      <c r="B1195" t="s">
        <v>115</v>
      </c>
      <c r="C1195">
        <v>70</v>
      </c>
      <c r="D1195">
        <v>53.151832245133903</v>
      </c>
    </row>
    <row r="1196" spans="1:4" x14ac:dyDescent="0.25">
      <c r="A1196">
        <v>2017</v>
      </c>
      <c r="B1196" t="s">
        <v>115</v>
      </c>
      <c r="C1196">
        <v>75</v>
      </c>
      <c r="D1196">
        <v>40.645518775690597</v>
      </c>
    </row>
    <row r="1197" spans="1:4" x14ac:dyDescent="0.25">
      <c r="A1197">
        <v>2017</v>
      </c>
      <c r="B1197" t="s">
        <v>115</v>
      </c>
      <c r="C1197">
        <v>80</v>
      </c>
      <c r="D1197">
        <v>34.392362040968997</v>
      </c>
    </row>
    <row r="1198" spans="1:4" x14ac:dyDescent="0.25">
      <c r="A1198">
        <v>2017</v>
      </c>
      <c r="B1198" t="s">
        <v>115</v>
      </c>
      <c r="C1198">
        <v>85</v>
      </c>
      <c r="D1198">
        <v>20.843855782405502</v>
      </c>
    </row>
    <row r="1199" spans="1:4" x14ac:dyDescent="0.25">
      <c r="A1199">
        <v>2018</v>
      </c>
      <c r="B1199" t="s">
        <v>115</v>
      </c>
      <c r="C1199">
        <v>0</v>
      </c>
      <c r="D1199">
        <v>39.947717003646503</v>
      </c>
    </row>
    <row r="1200" spans="1:4" x14ac:dyDescent="0.25">
      <c r="A1200">
        <v>2018</v>
      </c>
      <c r="B1200" t="s">
        <v>115</v>
      </c>
      <c r="C1200">
        <v>1</v>
      </c>
      <c r="D1200">
        <v>51.168064475419897</v>
      </c>
    </row>
    <row r="1201" spans="1:4" x14ac:dyDescent="0.25">
      <c r="A1201">
        <v>2018</v>
      </c>
      <c r="B1201" t="s">
        <v>115</v>
      </c>
      <c r="C1201">
        <v>5</v>
      </c>
      <c r="D1201">
        <v>49.036061788944103</v>
      </c>
    </row>
    <row r="1202" spans="1:4" x14ac:dyDescent="0.25">
      <c r="A1202">
        <v>2018</v>
      </c>
      <c r="B1202" t="s">
        <v>115</v>
      </c>
      <c r="C1202">
        <v>10</v>
      </c>
      <c r="D1202">
        <v>60.762076564561099</v>
      </c>
    </row>
    <row r="1203" spans="1:4" x14ac:dyDescent="0.25">
      <c r="A1203">
        <v>2018</v>
      </c>
      <c r="B1203" t="s">
        <v>115</v>
      </c>
      <c r="C1203">
        <v>15</v>
      </c>
      <c r="D1203">
        <v>392.44251413656701</v>
      </c>
    </row>
    <row r="1204" spans="1:4" x14ac:dyDescent="0.25">
      <c r="A1204">
        <v>2018</v>
      </c>
      <c r="B1204" t="s">
        <v>115</v>
      </c>
      <c r="C1204">
        <v>20</v>
      </c>
      <c r="D1204">
        <v>566.38046721762203</v>
      </c>
    </row>
    <row r="1205" spans="1:4" x14ac:dyDescent="0.25">
      <c r="A1205">
        <v>2018</v>
      </c>
      <c r="B1205" t="s">
        <v>115</v>
      </c>
      <c r="C1205">
        <v>25</v>
      </c>
      <c r="D1205">
        <v>574.98042548732303</v>
      </c>
    </row>
    <row r="1206" spans="1:4" x14ac:dyDescent="0.25">
      <c r="A1206">
        <v>2018</v>
      </c>
      <c r="B1206" t="s">
        <v>115</v>
      </c>
      <c r="C1206">
        <v>30</v>
      </c>
      <c r="D1206">
        <v>476.87853936259597</v>
      </c>
    </row>
    <row r="1207" spans="1:4" x14ac:dyDescent="0.25">
      <c r="A1207">
        <v>2018</v>
      </c>
      <c r="B1207" t="s">
        <v>115</v>
      </c>
      <c r="C1207">
        <v>35</v>
      </c>
      <c r="D1207">
        <v>452.77996692756602</v>
      </c>
    </row>
    <row r="1208" spans="1:4" x14ac:dyDescent="0.25">
      <c r="A1208">
        <v>2018</v>
      </c>
      <c r="B1208" t="s">
        <v>115</v>
      </c>
      <c r="C1208">
        <v>40</v>
      </c>
      <c r="D1208">
        <v>327.52450186606399</v>
      </c>
    </row>
    <row r="1209" spans="1:4" x14ac:dyDescent="0.25">
      <c r="A1209">
        <v>2018</v>
      </c>
      <c r="B1209" t="s">
        <v>115</v>
      </c>
      <c r="C1209">
        <v>45</v>
      </c>
      <c r="D1209">
        <v>237.09233594184201</v>
      </c>
    </row>
    <row r="1210" spans="1:4" x14ac:dyDescent="0.25">
      <c r="A1210">
        <v>2018</v>
      </c>
      <c r="B1210" t="s">
        <v>115</v>
      </c>
      <c r="C1210">
        <v>50</v>
      </c>
      <c r="D1210">
        <v>187.72211464712501</v>
      </c>
    </row>
    <row r="1211" spans="1:4" x14ac:dyDescent="0.25">
      <c r="A1211">
        <v>2018</v>
      </c>
      <c r="B1211" t="s">
        <v>115</v>
      </c>
      <c r="C1211">
        <v>55</v>
      </c>
      <c r="D1211">
        <v>154.85380980577199</v>
      </c>
    </row>
    <row r="1212" spans="1:4" x14ac:dyDescent="0.25">
      <c r="A1212">
        <v>2018</v>
      </c>
      <c r="B1212" t="s">
        <v>115</v>
      </c>
      <c r="C1212">
        <v>60</v>
      </c>
      <c r="D1212">
        <v>67.1580846239886</v>
      </c>
    </row>
    <row r="1213" spans="1:4" x14ac:dyDescent="0.25">
      <c r="A1213">
        <v>2018</v>
      </c>
      <c r="B1213" t="s">
        <v>115</v>
      </c>
      <c r="C1213">
        <v>65</v>
      </c>
      <c r="D1213">
        <v>73.554092683416101</v>
      </c>
    </row>
    <row r="1214" spans="1:4" x14ac:dyDescent="0.25">
      <c r="A1214">
        <v>2018</v>
      </c>
      <c r="B1214" t="s">
        <v>115</v>
      </c>
      <c r="C1214">
        <v>70</v>
      </c>
      <c r="D1214">
        <v>40.508051043040801</v>
      </c>
    </row>
    <row r="1215" spans="1:4" x14ac:dyDescent="0.25">
      <c r="A1215">
        <v>2018</v>
      </c>
      <c r="B1215" t="s">
        <v>115</v>
      </c>
      <c r="C1215">
        <v>75</v>
      </c>
      <c r="D1215">
        <v>34.1120429836133</v>
      </c>
    </row>
    <row r="1216" spans="1:4" x14ac:dyDescent="0.25">
      <c r="A1216">
        <v>2018</v>
      </c>
      <c r="B1216" t="s">
        <v>115</v>
      </c>
      <c r="C1216">
        <v>80</v>
      </c>
      <c r="D1216">
        <v>14.9240188053308</v>
      </c>
    </row>
    <row r="1217" spans="1:4" x14ac:dyDescent="0.25">
      <c r="A1217">
        <v>2018</v>
      </c>
      <c r="B1217" t="s">
        <v>115</v>
      </c>
      <c r="C1217">
        <v>85</v>
      </c>
      <c r="D1217">
        <v>25.584032237709899</v>
      </c>
    </row>
    <row r="1218" spans="1:4" x14ac:dyDescent="0.25">
      <c r="A1218" s="134">
        <v>2019</v>
      </c>
      <c r="B1218" s="134" t="s">
        <v>115</v>
      </c>
      <c r="C1218" s="134">
        <v>0</v>
      </c>
      <c r="D1218" s="134">
        <v>2</v>
      </c>
    </row>
    <row r="1219" spans="1:4" x14ac:dyDescent="0.25">
      <c r="A1219" s="134">
        <v>2019</v>
      </c>
      <c r="B1219" s="134" t="s">
        <v>115</v>
      </c>
      <c r="C1219" s="134">
        <v>1</v>
      </c>
      <c r="D1219" s="134">
        <v>4</v>
      </c>
    </row>
    <row r="1220" spans="1:4" x14ac:dyDescent="0.25">
      <c r="A1220" s="134">
        <v>2019</v>
      </c>
      <c r="B1220" s="134" t="s">
        <v>115</v>
      </c>
      <c r="C1220" s="134">
        <v>5</v>
      </c>
      <c r="D1220" s="134">
        <v>3</v>
      </c>
    </row>
    <row r="1221" spans="1:4" x14ac:dyDescent="0.25">
      <c r="A1221" s="134">
        <v>2019</v>
      </c>
      <c r="B1221" s="134" t="s">
        <v>115</v>
      </c>
      <c r="C1221" s="134">
        <v>10</v>
      </c>
      <c r="D1221" s="134">
        <v>5</v>
      </c>
    </row>
    <row r="1222" spans="1:4" x14ac:dyDescent="0.25">
      <c r="A1222" s="134">
        <v>2019</v>
      </c>
      <c r="B1222" s="134" t="s">
        <v>115</v>
      </c>
      <c r="C1222" s="134">
        <v>15</v>
      </c>
      <c r="D1222" s="134">
        <v>25</v>
      </c>
    </row>
    <row r="1223" spans="1:4" x14ac:dyDescent="0.25">
      <c r="A1223" s="134">
        <v>2019</v>
      </c>
      <c r="B1223" s="134" t="s">
        <v>115</v>
      </c>
      <c r="C1223" s="134">
        <v>20</v>
      </c>
      <c r="D1223" s="134">
        <v>37</v>
      </c>
    </row>
    <row r="1224" spans="1:4" x14ac:dyDescent="0.25">
      <c r="A1224" s="134">
        <v>2019</v>
      </c>
      <c r="B1224" s="134" t="s">
        <v>115</v>
      </c>
      <c r="C1224" s="134">
        <v>25</v>
      </c>
      <c r="D1224" s="134">
        <v>27</v>
      </c>
    </row>
    <row r="1225" spans="1:4" x14ac:dyDescent="0.25">
      <c r="A1225" s="134">
        <v>2019</v>
      </c>
      <c r="B1225" s="134" t="s">
        <v>115</v>
      </c>
      <c r="C1225" s="134">
        <v>30</v>
      </c>
      <c r="D1225" s="134">
        <v>24</v>
      </c>
    </row>
    <row r="1226" spans="1:4" x14ac:dyDescent="0.25">
      <c r="A1226" s="134">
        <v>2019</v>
      </c>
      <c r="B1226" s="134" t="s">
        <v>115</v>
      </c>
      <c r="C1226" s="134">
        <v>35</v>
      </c>
      <c r="D1226" s="134">
        <v>23</v>
      </c>
    </row>
    <row r="1227" spans="1:4" x14ac:dyDescent="0.25">
      <c r="A1227" s="134">
        <v>2019</v>
      </c>
      <c r="B1227" s="134" t="s">
        <v>115</v>
      </c>
      <c r="C1227" s="134">
        <v>40</v>
      </c>
      <c r="D1227" s="134">
        <v>27</v>
      </c>
    </row>
    <row r="1228" spans="1:4" x14ac:dyDescent="0.25">
      <c r="A1228" s="134">
        <v>2019</v>
      </c>
      <c r="B1228" s="134" t="s">
        <v>115</v>
      </c>
      <c r="C1228" s="134">
        <v>45</v>
      </c>
      <c r="D1228" s="134">
        <v>11</v>
      </c>
    </row>
    <row r="1229" spans="1:4" x14ac:dyDescent="0.25">
      <c r="A1229" s="134">
        <v>2019</v>
      </c>
      <c r="B1229" s="134" t="s">
        <v>115</v>
      </c>
      <c r="C1229" s="134">
        <v>50</v>
      </c>
      <c r="D1229" s="134">
        <v>11</v>
      </c>
    </row>
    <row r="1230" spans="1:4" x14ac:dyDescent="0.25">
      <c r="A1230" s="134">
        <v>2019</v>
      </c>
      <c r="B1230" s="134" t="s">
        <v>115</v>
      </c>
      <c r="C1230" s="134">
        <v>55</v>
      </c>
      <c r="D1230" s="134">
        <v>10</v>
      </c>
    </row>
    <row r="1231" spans="1:4" x14ac:dyDescent="0.25">
      <c r="A1231" s="134">
        <v>2019</v>
      </c>
      <c r="B1231" s="134" t="s">
        <v>115</v>
      </c>
      <c r="C1231" s="134">
        <v>60</v>
      </c>
      <c r="D1231" s="134">
        <v>3</v>
      </c>
    </row>
    <row r="1232" spans="1:4" x14ac:dyDescent="0.25">
      <c r="A1232" s="134">
        <v>2019</v>
      </c>
      <c r="B1232" s="134" t="s">
        <v>115</v>
      </c>
      <c r="C1232" s="134">
        <v>65</v>
      </c>
      <c r="D1232" s="134">
        <v>5</v>
      </c>
    </row>
    <row r="1233" spans="1:4" x14ac:dyDescent="0.25">
      <c r="A1233" s="134">
        <v>2019</v>
      </c>
      <c r="B1233" s="134" t="s">
        <v>115</v>
      </c>
      <c r="C1233" s="134">
        <v>70</v>
      </c>
      <c r="D1233" s="134">
        <v>6</v>
      </c>
    </row>
    <row r="1234" spans="1:4" x14ac:dyDescent="0.25">
      <c r="A1234" s="134">
        <v>2019</v>
      </c>
      <c r="B1234" s="134" t="s">
        <v>115</v>
      </c>
      <c r="C1234" s="134">
        <v>75</v>
      </c>
      <c r="D1234" s="134">
        <v>2</v>
      </c>
    </row>
    <row r="1235" spans="1:4" x14ac:dyDescent="0.25">
      <c r="A1235" s="134">
        <v>2019</v>
      </c>
      <c r="B1235" s="134" t="s">
        <v>115</v>
      </c>
      <c r="C1235" s="134">
        <v>80</v>
      </c>
      <c r="D1235" s="134">
        <v>1</v>
      </c>
    </row>
    <row r="1236" spans="1:4" x14ac:dyDescent="0.25">
      <c r="A1236" s="134">
        <v>2019</v>
      </c>
      <c r="B1236" s="134" t="s">
        <v>115</v>
      </c>
      <c r="C1236" s="134">
        <v>85</v>
      </c>
      <c r="D1236" s="134">
        <v>4</v>
      </c>
    </row>
    <row r="1237" spans="1:4" x14ac:dyDescent="0.25">
      <c r="A1237">
        <v>2020</v>
      </c>
      <c r="B1237" t="s">
        <v>115</v>
      </c>
      <c r="C1237">
        <v>0</v>
      </c>
      <c r="D1237">
        <v>23.339955547082599</v>
      </c>
    </row>
    <row r="1238" spans="1:4" x14ac:dyDescent="0.25">
      <c r="A1238">
        <v>2020</v>
      </c>
      <c r="B1238" t="s">
        <v>115</v>
      </c>
      <c r="C1238">
        <v>1</v>
      </c>
      <c r="D1238">
        <v>44.6921676272434</v>
      </c>
    </row>
    <row r="1239" spans="1:4" x14ac:dyDescent="0.25">
      <c r="A1239">
        <v>2020</v>
      </c>
      <c r="B1239" t="s">
        <v>115</v>
      </c>
      <c r="C1239">
        <v>5</v>
      </c>
      <c r="D1239">
        <v>51.232484840986402</v>
      </c>
    </row>
    <row r="1240" spans="1:4" x14ac:dyDescent="0.25">
      <c r="A1240">
        <v>2020</v>
      </c>
      <c r="B1240" t="s">
        <v>115</v>
      </c>
      <c r="C1240">
        <v>10</v>
      </c>
      <c r="D1240">
        <v>69.763383613258</v>
      </c>
    </row>
    <row r="1241" spans="1:4" x14ac:dyDescent="0.25">
      <c r="A1241">
        <v>2020</v>
      </c>
      <c r="B1241" t="s">
        <v>115</v>
      </c>
      <c r="C1241">
        <v>15</v>
      </c>
      <c r="D1241">
        <v>361.897552493776</v>
      </c>
    </row>
    <row r="1242" spans="1:4" x14ac:dyDescent="0.25">
      <c r="A1242">
        <v>2020</v>
      </c>
      <c r="B1242" t="s">
        <v>115</v>
      </c>
      <c r="C1242">
        <v>20</v>
      </c>
      <c r="D1242">
        <v>638.17334604521795</v>
      </c>
    </row>
    <row r="1243" spans="1:4" x14ac:dyDescent="0.25">
      <c r="A1243">
        <v>2020</v>
      </c>
      <c r="B1243" t="s">
        <v>115</v>
      </c>
      <c r="C1243">
        <v>25</v>
      </c>
      <c r="D1243">
        <v>661.77792865788001</v>
      </c>
    </row>
    <row r="1244" spans="1:4" x14ac:dyDescent="0.25">
      <c r="A1244">
        <v>2020</v>
      </c>
      <c r="B1244" t="s">
        <v>115</v>
      </c>
      <c r="C1244">
        <v>30</v>
      </c>
      <c r="D1244">
        <v>561.48898885625897</v>
      </c>
    </row>
    <row r="1245" spans="1:4" x14ac:dyDescent="0.25">
      <c r="A1245">
        <v>2020</v>
      </c>
      <c r="B1245" t="s">
        <v>115</v>
      </c>
      <c r="C1245">
        <v>35</v>
      </c>
      <c r="D1245">
        <v>426.30985972402698</v>
      </c>
    </row>
    <row r="1246" spans="1:4" x14ac:dyDescent="0.25">
      <c r="A1246">
        <v>2020</v>
      </c>
      <c r="B1246" t="s">
        <v>115</v>
      </c>
      <c r="C1246">
        <v>40</v>
      </c>
      <c r="D1246">
        <v>378.24834552813297</v>
      </c>
    </row>
    <row r="1247" spans="1:4" x14ac:dyDescent="0.25">
      <c r="A1247">
        <v>2020</v>
      </c>
      <c r="B1247" t="s">
        <v>115</v>
      </c>
      <c r="C1247">
        <v>45</v>
      </c>
      <c r="D1247">
        <v>268.65914582718898</v>
      </c>
    </row>
    <row r="1248" spans="1:4" x14ac:dyDescent="0.25">
      <c r="A1248">
        <v>2020</v>
      </c>
      <c r="B1248" t="s">
        <v>115</v>
      </c>
      <c r="C1248">
        <v>50</v>
      </c>
      <c r="D1248">
        <v>177.67861764001699</v>
      </c>
    </row>
    <row r="1249" spans="1:4" x14ac:dyDescent="0.25">
      <c r="A1249">
        <v>2020</v>
      </c>
      <c r="B1249" t="s">
        <v>115</v>
      </c>
      <c r="C1249">
        <v>55</v>
      </c>
      <c r="D1249">
        <v>117.36138995517</v>
      </c>
    </row>
    <row r="1250" spans="1:4" x14ac:dyDescent="0.25">
      <c r="A1250">
        <v>2020</v>
      </c>
      <c r="B1250" t="s">
        <v>115</v>
      </c>
      <c r="C1250">
        <v>60</v>
      </c>
      <c r="D1250">
        <v>104.672655070788</v>
      </c>
    </row>
    <row r="1251" spans="1:4" x14ac:dyDescent="0.25">
      <c r="A1251">
        <v>2020</v>
      </c>
      <c r="B1251" t="s">
        <v>115</v>
      </c>
      <c r="C1251">
        <v>65</v>
      </c>
      <c r="D1251">
        <v>57.772802054729297</v>
      </c>
    </row>
    <row r="1252" spans="1:4" x14ac:dyDescent="0.25">
      <c r="A1252">
        <v>2020</v>
      </c>
      <c r="B1252" t="s">
        <v>115</v>
      </c>
      <c r="C1252">
        <v>70</v>
      </c>
      <c r="D1252">
        <v>53.412590578900698</v>
      </c>
    </row>
    <row r="1253" spans="1:4" x14ac:dyDescent="0.25">
      <c r="A1253">
        <v>2020</v>
      </c>
      <c r="B1253" t="s">
        <v>115</v>
      </c>
      <c r="C1253">
        <v>75</v>
      </c>
      <c r="D1253">
        <v>38.151850413500497</v>
      </c>
    </row>
    <row r="1254" spans="1:4" x14ac:dyDescent="0.25">
      <c r="A1254">
        <v>2020</v>
      </c>
      <c r="B1254" t="s">
        <v>115</v>
      </c>
      <c r="C1254">
        <v>80</v>
      </c>
      <c r="D1254">
        <v>27.2513217239289</v>
      </c>
    </row>
    <row r="1255" spans="1:4" x14ac:dyDescent="0.25">
      <c r="A1255">
        <v>2020</v>
      </c>
      <c r="B1255" t="s">
        <v>115</v>
      </c>
      <c r="C1255">
        <v>85</v>
      </c>
      <c r="D1255">
        <v>20.631244544164701</v>
      </c>
    </row>
    <row r="1256" spans="1:4" x14ac:dyDescent="0.25">
      <c r="A1256">
        <v>2021</v>
      </c>
      <c r="B1256" t="s">
        <v>115</v>
      </c>
      <c r="C1256">
        <v>0</v>
      </c>
      <c r="D1256">
        <v>28.344498242124899</v>
      </c>
    </row>
    <row r="1257" spans="1:4" x14ac:dyDescent="0.25">
      <c r="A1257">
        <v>2021</v>
      </c>
      <c r="B1257" t="s">
        <v>115</v>
      </c>
      <c r="C1257">
        <v>1</v>
      </c>
      <c r="D1257">
        <v>28.004364263219401</v>
      </c>
    </row>
    <row r="1258" spans="1:4" x14ac:dyDescent="0.25">
      <c r="A1258">
        <v>2021</v>
      </c>
      <c r="B1258" t="s">
        <v>115</v>
      </c>
      <c r="C1258">
        <v>5</v>
      </c>
      <c r="D1258">
        <v>38.7752735952268</v>
      </c>
    </row>
    <row r="1259" spans="1:4" x14ac:dyDescent="0.25">
      <c r="A1259">
        <v>2021</v>
      </c>
      <c r="B1259" t="s">
        <v>115</v>
      </c>
      <c r="C1259">
        <v>10</v>
      </c>
      <c r="D1259">
        <v>87.244365589260298</v>
      </c>
    </row>
    <row r="1260" spans="1:4" x14ac:dyDescent="0.25">
      <c r="A1260">
        <v>2021</v>
      </c>
      <c r="B1260" t="s">
        <v>115</v>
      </c>
      <c r="C1260">
        <v>15</v>
      </c>
      <c r="D1260">
        <v>360.82546262224901</v>
      </c>
    </row>
    <row r="1261" spans="1:4" x14ac:dyDescent="0.25">
      <c r="A1261">
        <v>2021</v>
      </c>
      <c r="B1261" t="s">
        <v>115</v>
      </c>
      <c r="C1261">
        <v>20</v>
      </c>
      <c r="D1261">
        <v>581.02467899397595</v>
      </c>
    </row>
    <row r="1262" spans="1:4" x14ac:dyDescent="0.25">
      <c r="A1262">
        <v>2021</v>
      </c>
      <c r="B1262" t="s">
        <v>115</v>
      </c>
      <c r="C1262">
        <v>25</v>
      </c>
      <c r="D1262">
        <v>615.48021588058202</v>
      </c>
    </row>
    <row r="1263" spans="1:4" x14ac:dyDescent="0.25">
      <c r="A1263">
        <v>2021</v>
      </c>
      <c r="B1263" t="s">
        <v>115</v>
      </c>
      <c r="C1263">
        <v>30</v>
      </c>
      <c r="D1263">
        <v>573.359446345572</v>
      </c>
    </row>
    <row r="1264" spans="1:4" x14ac:dyDescent="0.25">
      <c r="A1264">
        <v>2021</v>
      </c>
      <c r="B1264" t="s">
        <v>115</v>
      </c>
      <c r="C1264">
        <v>35</v>
      </c>
      <c r="D1264">
        <v>482.649929896142</v>
      </c>
    </row>
    <row r="1265" spans="1:4" x14ac:dyDescent="0.25">
      <c r="A1265">
        <v>2021</v>
      </c>
      <c r="B1265" t="s">
        <v>115</v>
      </c>
      <c r="C1265">
        <v>40</v>
      </c>
      <c r="D1265">
        <v>355.75271177556198</v>
      </c>
    </row>
    <row r="1266" spans="1:4" x14ac:dyDescent="0.25">
      <c r="A1266">
        <v>2021</v>
      </c>
      <c r="B1266" t="s">
        <v>115</v>
      </c>
      <c r="C1266">
        <v>45</v>
      </c>
      <c r="D1266">
        <v>276.05112687063797</v>
      </c>
    </row>
    <row r="1267" spans="1:4" x14ac:dyDescent="0.25">
      <c r="A1267">
        <v>2021</v>
      </c>
      <c r="B1267" t="s">
        <v>115</v>
      </c>
      <c r="C1267">
        <v>50</v>
      </c>
      <c r="D1267">
        <v>171.35504097628501</v>
      </c>
    </row>
    <row r="1268" spans="1:4" x14ac:dyDescent="0.25">
      <c r="A1268">
        <v>2021</v>
      </c>
      <c r="B1268" t="s">
        <v>115</v>
      </c>
      <c r="C1268">
        <v>55</v>
      </c>
      <c r="D1268">
        <v>115.24872985248</v>
      </c>
    </row>
    <row r="1269" spans="1:4" x14ac:dyDescent="0.25">
      <c r="A1269">
        <v>2021</v>
      </c>
      <c r="B1269" t="s">
        <v>115</v>
      </c>
      <c r="C1269">
        <v>60</v>
      </c>
      <c r="D1269">
        <v>78.627638123654407</v>
      </c>
    </row>
    <row r="1270" spans="1:4" x14ac:dyDescent="0.25">
      <c r="A1270">
        <v>2021</v>
      </c>
      <c r="B1270" t="s">
        <v>115</v>
      </c>
      <c r="C1270">
        <v>65</v>
      </c>
      <c r="D1270">
        <v>72.165092524449904</v>
      </c>
    </row>
    <row r="1271" spans="1:4" x14ac:dyDescent="0.25">
      <c r="A1271">
        <v>2021</v>
      </c>
      <c r="B1271" t="s">
        <v>115</v>
      </c>
      <c r="C1271">
        <v>70</v>
      </c>
      <c r="D1271">
        <v>44.160728261230503</v>
      </c>
    </row>
    <row r="1272" spans="1:4" x14ac:dyDescent="0.25">
      <c r="A1272">
        <v>2021</v>
      </c>
      <c r="B1272" t="s">
        <v>115</v>
      </c>
      <c r="C1272">
        <v>75</v>
      </c>
      <c r="D1272">
        <v>29.081455196420102</v>
      </c>
    </row>
    <row r="1273" spans="1:4" x14ac:dyDescent="0.25">
      <c r="A1273">
        <v>2021</v>
      </c>
      <c r="B1273" t="s">
        <v>115</v>
      </c>
      <c r="C1273">
        <v>80</v>
      </c>
      <c r="D1273">
        <v>19.3876367976134</v>
      </c>
    </row>
    <row r="1274" spans="1:4" x14ac:dyDescent="0.25">
      <c r="A1274">
        <v>2021</v>
      </c>
      <c r="B1274" t="s">
        <v>115</v>
      </c>
      <c r="C1274">
        <v>85</v>
      </c>
      <c r="D1274">
        <v>25.377313206632198</v>
      </c>
    </row>
    <row r="1275" spans="1:4" x14ac:dyDescent="0.25">
      <c r="A1275">
        <v>2022</v>
      </c>
      <c r="B1275" t="s">
        <v>115</v>
      </c>
      <c r="C1275">
        <v>0</v>
      </c>
      <c r="D1275">
        <v>36.841092014739402</v>
      </c>
    </row>
    <row r="1276" spans="1:4" x14ac:dyDescent="0.25">
      <c r="A1276">
        <v>2022</v>
      </c>
      <c r="B1276" t="s">
        <v>115</v>
      </c>
      <c r="C1276">
        <v>1</v>
      </c>
      <c r="D1276">
        <v>32.506845895358303</v>
      </c>
    </row>
    <row r="1277" spans="1:4" x14ac:dyDescent="0.25">
      <c r="A1277">
        <v>2022</v>
      </c>
      <c r="B1277" t="s">
        <v>115</v>
      </c>
      <c r="C1277">
        <v>5</v>
      </c>
      <c r="D1277">
        <v>34.6739689550488</v>
      </c>
    </row>
    <row r="1278" spans="1:4" x14ac:dyDescent="0.25">
      <c r="A1278">
        <v>2022</v>
      </c>
      <c r="B1278" t="s">
        <v>115</v>
      </c>
      <c r="C1278">
        <v>10</v>
      </c>
      <c r="D1278">
        <v>60.6794456713355</v>
      </c>
    </row>
    <row r="1279" spans="1:4" x14ac:dyDescent="0.25">
      <c r="A1279">
        <v>2022</v>
      </c>
      <c r="B1279" t="s">
        <v>115</v>
      </c>
      <c r="C1279">
        <v>15</v>
      </c>
      <c r="D1279">
        <v>377.07941238615598</v>
      </c>
    </row>
    <row r="1280" spans="1:4" x14ac:dyDescent="0.25">
      <c r="A1280">
        <v>2022</v>
      </c>
      <c r="B1280" t="s">
        <v>115</v>
      </c>
      <c r="C1280">
        <v>20</v>
      </c>
      <c r="D1280">
        <v>553.83139947689801</v>
      </c>
    </row>
    <row r="1281" spans="1:4" x14ac:dyDescent="0.25">
      <c r="A1281">
        <v>2022</v>
      </c>
      <c r="B1281" t="s">
        <v>115</v>
      </c>
      <c r="C1281">
        <v>25</v>
      </c>
      <c r="D1281">
        <v>634.01309698258206</v>
      </c>
    </row>
    <row r="1282" spans="1:4" x14ac:dyDescent="0.25">
      <c r="A1282">
        <v>2022</v>
      </c>
      <c r="B1282" t="s">
        <v>115</v>
      </c>
      <c r="C1282">
        <v>30</v>
      </c>
      <c r="D1282">
        <v>552.85654379354696</v>
      </c>
    </row>
    <row r="1283" spans="1:4" x14ac:dyDescent="0.25">
      <c r="A1283">
        <v>2022</v>
      </c>
      <c r="B1283" t="s">
        <v>115</v>
      </c>
      <c r="C1283">
        <v>35</v>
      </c>
      <c r="D1283">
        <v>491.93693454975499</v>
      </c>
    </row>
    <row r="1284" spans="1:4" x14ac:dyDescent="0.25">
      <c r="A1284">
        <v>2022</v>
      </c>
      <c r="B1284" t="s">
        <v>115</v>
      </c>
      <c r="C1284">
        <v>40</v>
      </c>
      <c r="D1284">
        <v>381.413658505537</v>
      </c>
    </row>
    <row r="1285" spans="1:4" x14ac:dyDescent="0.25">
      <c r="A1285">
        <v>2022</v>
      </c>
      <c r="B1285" t="s">
        <v>115</v>
      </c>
      <c r="C1285">
        <v>45</v>
      </c>
      <c r="D1285">
        <v>250.50737628337899</v>
      </c>
    </row>
    <row r="1286" spans="1:4" x14ac:dyDescent="0.25">
      <c r="A1286">
        <v>2022</v>
      </c>
      <c r="B1286" t="s">
        <v>115</v>
      </c>
      <c r="C1286">
        <v>50</v>
      </c>
      <c r="D1286">
        <v>180.95477548416099</v>
      </c>
    </row>
    <row r="1287" spans="1:4" x14ac:dyDescent="0.25">
      <c r="A1287">
        <v>2022</v>
      </c>
      <c r="B1287" t="s">
        <v>115</v>
      </c>
      <c r="C1287">
        <v>55</v>
      </c>
      <c r="D1287">
        <v>131.110945111278</v>
      </c>
    </row>
    <row r="1288" spans="1:4" x14ac:dyDescent="0.25">
      <c r="A1288">
        <v>2022</v>
      </c>
      <c r="B1288" t="s">
        <v>115</v>
      </c>
      <c r="C1288">
        <v>60</v>
      </c>
      <c r="D1288">
        <v>71.515060969788195</v>
      </c>
    </row>
    <row r="1289" spans="1:4" x14ac:dyDescent="0.25">
      <c r="A1289">
        <v>2022</v>
      </c>
      <c r="B1289" t="s">
        <v>115</v>
      </c>
      <c r="C1289">
        <v>65</v>
      </c>
      <c r="D1289">
        <v>67.352194480127594</v>
      </c>
    </row>
    <row r="1290" spans="1:4" x14ac:dyDescent="0.25">
      <c r="A1290">
        <v>2022</v>
      </c>
      <c r="B1290" t="s">
        <v>115</v>
      </c>
      <c r="C1290">
        <v>70</v>
      </c>
      <c r="D1290">
        <v>37.9246535445847</v>
      </c>
    </row>
    <row r="1291" spans="1:4" x14ac:dyDescent="0.25">
      <c r="A1291">
        <v>2022</v>
      </c>
      <c r="B1291" t="s">
        <v>115</v>
      </c>
      <c r="C1291">
        <v>75</v>
      </c>
      <c r="D1291">
        <v>37.9246535445847</v>
      </c>
    </row>
    <row r="1292" spans="1:4" x14ac:dyDescent="0.25">
      <c r="A1292">
        <v>2022</v>
      </c>
      <c r="B1292" t="s">
        <v>115</v>
      </c>
      <c r="C1292">
        <v>80</v>
      </c>
      <c r="D1292">
        <v>28.172599775977201</v>
      </c>
    </row>
    <row r="1293" spans="1:4" x14ac:dyDescent="0.25">
      <c r="A1293">
        <v>2022</v>
      </c>
      <c r="B1293" t="s">
        <v>115</v>
      </c>
      <c r="C1293">
        <v>85</v>
      </c>
      <c r="D1293">
        <v>16.4340165359867</v>
      </c>
    </row>
    <row r="1294" spans="1:4" x14ac:dyDescent="0.25">
      <c r="A1294">
        <v>2023</v>
      </c>
      <c r="B1294" t="s">
        <v>115</v>
      </c>
      <c r="C1294">
        <v>0</v>
      </c>
      <c r="D1294">
        <v>22.858914228525499</v>
      </c>
    </row>
    <row r="1295" spans="1:4" x14ac:dyDescent="0.25">
      <c r="A1295">
        <v>2023</v>
      </c>
      <c r="B1295" t="s">
        <v>115</v>
      </c>
      <c r="C1295">
        <v>1</v>
      </c>
      <c r="D1295">
        <v>37.212185953413503</v>
      </c>
    </row>
    <row r="1296" spans="1:4" x14ac:dyDescent="0.25">
      <c r="A1296">
        <v>2023</v>
      </c>
      <c r="B1296" t="s">
        <v>115</v>
      </c>
      <c r="C1296">
        <v>5</v>
      </c>
      <c r="D1296">
        <v>34.022570014549501</v>
      </c>
    </row>
    <row r="1297" spans="1:4" x14ac:dyDescent="0.25">
      <c r="A1297">
        <v>2023</v>
      </c>
      <c r="B1297" t="s">
        <v>115</v>
      </c>
      <c r="C1297">
        <v>10</v>
      </c>
      <c r="D1297">
        <v>58.476292212506998</v>
      </c>
    </row>
    <row r="1298" spans="1:4" x14ac:dyDescent="0.25">
      <c r="A1298">
        <v>2023</v>
      </c>
      <c r="B1298" t="s">
        <v>115</v>
      </c>
      <c r="C1298">
        <v>15</v>
      </c>
      <c r="D1298">
        <v>282.812613245943</v>
      </c>
    </row>
    <row r="1299" spans="1:4" x14ac:dyDescent="0.25">
      <c r="A1299">
        <v>2023</v>
      </c>
      <c r="B1299" t="s">
        <v>115</v>
      </c>
      <c r="C1299">
        <v>20</v>
      </c>
      <c r="D1299">
        <v>580.79648967486605</v>
      </c>
    </row>
    <row r="1300" spans="1:4" x14ac:dyDescent="0.25">
      <c r="A1300">
        <v>2023</v>
      </c>
      <c r="B1300" t="s">
        <v>115</v>
      </c>
      <c r="C1300">
        <v>25</v>
      </c>
      <c r="D1300">
        <v>532.88697671838997</v>
      </c>
    </row>
    <row r="1301" spans="1:4" x14ac:dyDescent="0.25">
      <c r="A1301">
        <v>2023</v>
      </c>
      <c r="B1301" t="s">
        <v>115</v>
      </c>
      <c r="C1301">
        <v>30</v>
      </c>
      <c r="D1301">
        <v>556.29693951400202</v>
      </c>
    </row>
    <row r="1302" spans="1:4" x14ac:dyDescent="0.25">
      <c r="A1302">
        <v>2023</v>
      </c>
      <c r="B1302" t="s">
        <v>115</v>
      </c>
      <c r="C1302">
        <v>35</v>
      </c>
      <c r="D1302">
        <v>419.12073152218801</v>
      </c>
    </row>
    <row r="1303" spans="1:4" x14ac:dyDescent="0.25">
      <c r="A1303">
        <v>2023</v>
      </c>
      <c r="B1303" t="s">
        <v>115</v>
      </c>
      <c r="C1303">
        <v>40</v>
      </c>
      <c r="D1303">
        <v>357.35141083667497</v>
      </c>
    </row>
    <row r="1304" spans="1:4" x14ac:dyDescent="0.25">
      <c r="A1304">
        <v>2023</v>
      </c>
      <c r="B1304" t="s">
        <v>115</v>
      </c>
      <c r="C1304">
        <v>45</v>
      </c>
      <c r="D1304">
        <v>252.08491383156499</v>
      </c>
    </row>
    <row r="1305" spans="1:4" x14ac:dyDescent="0.25">
      <c r="A1305">
        <v>2023</v>
      </c>
      <c r="B1305" t="s">
        <v>115</v>
      </c>
      <c r="C1305">
        <v>50</v>
      </c>
      <c r="D1305">
        <v>187.23459796968001</v>
      </c>
    </row>
    <row r="1306" spans="1:4" x14ac:dyDescent="0.25">
      <c r="A1306">
        <v>2023</v>
      </c>
      <c r="B1306" t="s">
        <v>115</v>
      </c>
      <c r="C1306">
        <v>55</v>
      </c>
      <c r="D1306">
        <v>112.798190913958</v>
      </c>
    </row>
    <row r="1307" spans="1:4" x14ac:dyDescent="0.25">
      <c r="A1307">
        <v>2023</v>
      </c>
      <c r="B1307" t="s">
        <v>115</v>
      </c>
      <c r="C1307">
        <v>60</v>
      </c>
      <c r="D1307">
        <v>77.613987845691099</v>
      </c>
    </row>
    <row r="1308" spans="1:4" x14ac:dyDescent="0.25">
      <c r="A1308">
        <v>2023</v>
      </c>
      <c r="B1308" t="s">
        <v>115</v>
      </c>
      <c r="C1308">
        <v>65</v>
      </c>
      <c r="D1308">
        <v>68.045140029099002</v>
      </c>
    </row>
    <row r="1309" spans="1:4" x14ac:dyDescent="0.25">
      <c r="A1309">
        <v>2023</v>
      </c>
      <c r="B1309" t="s">
        <v>115</v>
      </c>
      <c r="C1309">
        <v>70</v>
      </c>
      <c r="D1309">
        <v>44.654623144096199</v>
      </c>
    </row>
    <row r="1310" spans="1:4" x14ac:dyDescent="0.25">
      <c r="A1310">
        <v>2023</v>
      </c>
      <c r="B1310" t="s">
        <v>115</v>
      </c>
      <c r="C1310">
        <v>75</v>
      </c>
      <c r="D1310">
        <v>46.7810337700056</v>
      </c>
    </row>
    <row r="1311" spans="1:4" x14ac:dyDescent="0.25">
      <c r="A1311">
        <v>2023</v>
      </c>
      <c r="B1311" t="s">
        <v>115</v>
      </c>
      <c r="C1311">
        <v>80</v>
      </c>
      <c r="D1311">
        <v>28.706543449776198</v>
      </c>
    </row>
    <row r="1312" spans="1:4" x14ac:dyDescent="0.25">
      <c r="A1312">
        <v>2023</v>
      </c>
      <c r="B1312" t="s">
        <v>115</v>
      </c>
      <c r="C1312">
        <v>85</v>
      </c>
      <c r="D1312">
        <v>13.821669068410699</v>
      </c>
    </row>
    <row r="1313" spans="1:4" x14ac:dyDescent="0.25">
      <c r="A1313">
        <v>2024</v>
      </c>
      <c r="B1313" t="s">
        <v>115</v>
      </c>
      <c r="C1313">
        <v>0</v>
      </c>
      <c r="D1313">
        <v>13.992896178937499</v>
      </c>
    </row>
    <row r="1314" spans="1:4" x14ac:dyDescent="0.25">
      <c r="A1314">
        <v>2024</v>
      </c>
      <c r="B1314" t="s">
        <v>115</v>
      </c>
      <c r="C1314">
        <v>1</v>
      </c>
      <c r="D1314">
        <v>33.213907413741701</v>
      </c>
    </row>
    <row r="1315" spans="1:4" x14ac:dyDescent="0.25">
      <c r="A1315">
        <v>2024</v>
      </c>
      <c r="B1315" t="s">
        <v>115</v>
      </c>
      <c r="C1315">
        <v>5</v>
      </c>
      <c r="D1315">
        <v>36.327711233780001</v>
      </c>
    </row>
    <row r="1316" spans="1:4" x14ac:dyDescent="0.25">
      <c r="A1316">
        <v>2024</v>
      </c>
      <c r="B1316" t="s">
        <v>115</v>
      </c>
      <c r="C1316">
        <v>10</v>
      </c>
      <c r="D1316">
        <v>51.896730333971398</v>
      </c>
    </row>
    <row r="1317" spans="1:4" x14ac:dyDescent="0.25">
      <c r="A1317">
        <v>2024</v>
      </c>
      <c r="B1317" t="s">
        <v>115</v>
      </c>
      <c r="C1317">
        <v>15</v>
      </c>
      <c r="D1317">
        <v>255.33191324313901</v>
      </c>
    </row>
    <row r="1318" spans="1:4" x14ac:dyDescent="0.25">
      <c r="A1318">
        <v>2024</v>
      </c>
      <c r="B1318" t="s">
        <v>115</v>
      </c>
      <c r="C1318">
        <v>20</v>
      </c>
      <c r="D1318">
        <v>490.02278688255399</v>
      </c>
    </row>
    <row r="1319" spans="1:4" x14ac:dyDescent="0.25">
      <c r="A1319">
        <v>2024</v>
      </c>
      <c r="B1319" t="s">
        <v>115</v>
      </c>
      <c r="C1319">
        <v>25</v>
      </c>
      <c r="D1319">
        <v>551.143276146777</v>
      </c>
    </row>
    <row r="1320" spans="1:4" x14ac:dyDescent="0.25">
      <c r="A1320">
        <v>2024</v>
      </c>
      <c r="B1320" t="s">
        <v>115</v>
      </c>
      <c r="C1320">
        <v>30</v>
      </c>
      <c r="D1320">
        <v>543.99163499612496</v>
      </c>
    </row>
    <row r="1321" spans="1:4" x14ac:dyDescent="0.25">
      <c r="A1321">
        <v>2024</v>
      </c>
      <c r="B1321" t="s">
        <v>115</v>
      </c>
      <c r="C1321">
        <v>35</v>
      </c>
      <c r="D1321">
        <v>458.883830782372</v>
      </c>
    </row>
    <row r="1322" spans="1:4" x14ac:dyDescent="0.25">
      <c r="A1322">
        <v>2024</v>
      </c>
      <c r="B1322" t="s">
        <v>115</v>
      </c>
      <c r="C1322">
        <v>40</v>
      </c>
      <c r="D1322">
        <v>370.77117302710002</v>
      </c>
    </row>
    <row r="1323" spans="1:4" x14ac:dyDescent="0.25">
      <c r="A1323">
        <v>2024</v>
      </c>
      <c r="B1323" t="s">
        <v>115</v>
      </c>
      <c r="C1323">
        <v>45</v>
      </c>
      <c r="D1323">
        <v>248.066370996383</v>
      </c>
    </row>
    <row r="1324" spans="1:4" x14ac:dyDescent="0.25">
      <c r="A1324">
        <v>2024</v>
      </c>
      <c r="B1324" t="s">
        <v>115</v>
      </c>
      <c r="C1324">
        <v>50</v>
      </c>
      <c r="D1324">
        <v>182.77987305671999</v>
      </c>
    </row>
    <row r="1325" spans="1:4" x14ac:dyDescent="0.25">
      <c r="A1325">
        <v>2024</v>
      </c>
      <c r="B1325" t="s">
        <v>115</v>
      </c>
      <c r="C1325">
        <v>55</v>
      </c>
      <c r="D1325">
        <v>147.386714148479</v>
      </c>
    </row>
    <row r="1326" spans="1:4" x14ac:dyDescent="0.25">
      <c r="A1326">
        <v>2024</v>
      </c>
      <c r="B1326" t="s">
        <v>115</v>
      </c>
      <c r="C1326">
        <v>60</v>
      </c>
      <c r="D1326">
        <v>71.617487860880601</v>
      </c>
    </row>
    <row r="1327" spans="1:4" x14ac:dyDescent="0.25">
      <c r="A1327">
        <v>2024</v>
      </c>
      <c r="B1327" t="s">
        <v>115</v>
      </c>
      <c r="C1327">
        <v>65</v>
      </c>
      <c r="D1327">
        <v>51.896730333971398</v>
      </c>
    </row>
    <row r="1328" spans="1:4" x14ac:dyDescent="0.25">
      <c r="A1328">
        <v>2024</v>
      </c>
      <c r="B1328" t="s">
        <v>115</v>
      </c>
      <c r="C1328">
        <v>70</v>
      </c>
      <c r="D1328">
        <v>43.593253480535999</v>
      </c>
    </row>
    <row r="1329" spans="1:4" x14ac:dyDescent="0.25">
      <c r="A1329">
        <v>2024</v>
      </c>
      <c r="B1329" t="s">
        <v>115</v>
      </c>
      <c r="C1329">
        <v>75</v>
      </c>
      <c r="D1329">
        <v>20.7586921335886</v>
      </c>
    </row>
    <row r="1330" spans="1:4" x14ac:dyDescent="0.25">
      <c r="A1330">
        <v>2024</v>
      </c>
      <c r="B1330" t="s">
        <v>115</v>
      </c>
      <c r="C1330">
        <v>80</v>
      </c>
      <c r="D1330">
        <v>18.6828229202297</v>
      </c>
    </row>
    <row r="1331" spans="1:4" x14ac:dyDescent="0.25">
      <c r="A1331">
        <v>2024</v>
      </c>
      <c r="B1331" t="s">
        <v>115</v>
      </c>
      <c r="C1331">
        <v>85</v>
      </c>
      <c r="D1331">
        <v>18.965895994778698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5A-8B8A-B84C-82BA-E04D66343388}">
  <dimension ref="A1:D115"/>
  <sheetViews>
    <sheetView topLeftCell="A4" workbookViewId="0">
      <selection activeCell="G27" sqref="G27"/>
    </sheetView>
  </sheetViews>
  <sheetFormatPr baseColWidth="10" defaultRowHeight="15" x14ac:dyDescent="0.25"/>
  <sheetData>
    <row r="1" spans="1:4" x14ac:dyDescent="0.25">
      <c r="A1" t="s">
        <v>110</v>
      </c>
      <c r="B1" t="s">
        <v>111</v>
      </c>
      <c r="C1" t="s">
        <v>112</v>
      </c>
      <c r="D1" t="s">
        <v>113</v>
      </c>
    </row>
    <row r="2" spans="1:4" x14ac:dyDescent="0.25">
      <c r="A2">
        <v>2010</v>
      </c>
      <c r="B2" t="s">
        <v>114</v>
      </c>
      <c r="C2">
        <v>0</v>
      </c>
      <c r="D2">
        <v>16396.589989655899</v>
      </c>
    </row>
    <row r="3" spans="1:4" x14ac:dyDescent="0.25">
      <c r="A3">
        <v>2010</v>
      </c>
      <c r="B3" t="s">
        <v>114</v>
      </c>
      <c r="C3">
        <v>1</v>
      </c>
      <c r="D3">
        <v>3197.4673665641999</v>
      </c>
    </row>
    <row r="4" spans="1:4" x14ac:dyDescent="0.25">
      <c r="A4">
        <v>2010</v>
      </c>
      <c r="B4" t="s">
        <v>114</v>
      </c>
      <c r="C4">
        <v>5</v>
      </c>
      <c r="D4">
        <v>1641.1840254368601</v>
      </c>
    </row>
    <row r="5" spans="1:4" x14ac:dyDescent="0.25">
      <c r="A5">
        <v>2010</v>
      </c>
      <c r="B5" t="s">
        <v>114</v>
      </c>
      <c r="C5">
        <v>10</v>
      </c>
      <c r="D5">
        <v>2144.4698870073998</v>
      </c>
    </row>
    <row r="6" spans="1:4" x14ac:dyDescent="0.25">
      <c r="A6">
        <v>2010</v>
      </c>
      <c r="B6" t="s">
        <v>114</v>
      </c>
      <c r="C6">
        <v>15</v>
      </c>
      <c r="D6">
        <v>7048.6900632719598</v>
      </c>
    </row>
    <row r="7" spans="1:4" x14ac:dyDescent="0.25">
      <c r="A7">
        <v>2010</v>
      </c>
      <c r="B7" t="s">
        <v>114</v>
      </c>
      <c r="C7">
        <v>20</v>
      </c>
      <c r="D7">
        <v>10158.871532924501</v>
      </c>
    </row>
    <row r="8" spans="1:4" x14ac:dyDescent="0.25">
      <c r="A8">
        <v>2010</v>
      </c>
      <c r="B8" t="s">
        <v>114</v>
      </c>
      <c r="C8">
        <v>25</v>
      </c>
      <c r="D8">
        <v>11052.9891606035</v>
      </c>
    </row>
    <row r="9" spans="1:4" x14ac:dyDescent="0.25">
      <c r="A9">
        <v>2010</v>
      </c>
      <c r="B9" t="s">
        <v>114</v>
      </c>
      <c r="C9">
        <v>30</v>
      </c>
      <c r="D9">
        <v>11982.977574942901</v>
      </c>
    </row>
    <row r="10" spans="1:4" x14ac:dyDescent="0.25">
      <c r="A10">
        <v>2010</v>
      </c>
      <c r="B10" t="s">
        <v>114</v>
      </c>
      <c r="C10">
        <v>35</v>
      </c>
      <c r="D10">
        <v>13399.5832801541</v>
      </c>
    </row>
    <row r="11" spans="1:4" x14ac:dyDescent="0.25">
      <c r="A11">
        <v>2010</v>
      </c>
      <c r="B11" t="s">
        <v>114</v>
      </c>
      <c r="C11">
        <v>40</v>
      </c>
      <c r="D11">
        <v>13894.0611357012</v>
      </c>
    </row>
    <row r="12" spans="1:4" x14ac:dyDescent="0.25">
      <c r="A12">
        <v>2010</v>
      </c>
      <c r="B12" t="s">
        <v>114</v>
      </c>
      <c r="C12">
        <v>45</v>
      </c>
      <c r="D12">
        <v>15835.229882624801</v>
      </c>
    </row>
    <row r="13" spans="1:4" x14ac:dyDescent="0.25">
      <c r="A13">
        <v>2010</v>
      </c>
      <c r="B13" t="s">
        <v>114</v>
      </c>
      <c r="C13">
        <v>50</v>
      </c>
      <c r="D13">
        <v>18643.556648035599</v>
      </c>
    </row>
    <row r="14" spans="1:4" x14ac:dyDescent="0.25">
      <c r="A14">
        <v>2010</v>
      </c>
      <c r="B14" t="s">
        <v>114</v>
      </c>
      <c r="C14">
        <v>55</v>
      </c>
      <c r="D14">
        <v>20871.1892902197</v>
      </c>
    </row>
    <row r="15" spans="1:4" x14ac:dyDescent="0.25">
      <c r="A15">
        <v>2010</v>
      </c>
      <c r="B15" t="s">
        <v>114</v>
      </c>
      <c r="C15">
        <v>60</v>
      </c>
      <c r="D15">
        <v>23395.136905159099</v>
      </c>
    </row>
    <row r="16" spans="1:4" x14ac:dyDescent="0.25">
      <c r="A16">
        <v>2010</v>
      </c>
      <c r="B16" t="s">
        <v>114</v>
      </c>
      <c r="C16">
        <v>65</v>
      </c>
      <c r="D16">
        <v>25971.001332836899</v>
      </c>
    </row>
    <row r="17" spans="1:4" x14ac:dyDescent="0.25">
      <c r="A17">
        <v>2010</v>
      </c>
      <c r="B17" t="s">
        <v>114</v>
      </c>
      <c r="C17">
        <v>70</v>
      </c>
      <c r="D17">
        <v>29208.849512907302</v>
      </c>
    </row>
    <row r="18" spans="1:4" x14ac:dyDescent="0.25">
      <c r="A18">
        <v>2010</v>
      </c>
      <c r="B18" t="s">
        <v>114</v>
      </c>
      <c r="C18">
        <v>75</v>
      </c>
      <c r="D18">
        <v>31011.574077952198</v>
      </c>
    </row>
    <row r="19" spans="1:4" x14ac:dyDescent="0.25">
      <c r="A19">
        <v>2010</v>
      </c>
      <c r="B19" t="s">
        <v>114</v>
      </c>
      <c r="C19">
        <v>80</v>
      </c>
      <c r="D19">
        <v>28727.921141106701</v>
      </c>
    </row>
    <row r="20" spans="1:4" x14ac:dyDescent="0.25">
      <c r="A20">
        <v>2010</v>
      </c>
      <c r="B20" t="s">
        <v>114</v>
      </c>
      <c r="C20">
        <v>85</v>
      </c>
      <c r="D20">
        <v>42946.831890564601</v>
      </c>
    </row>
    <row r="21" spans="1:4" x14ac:dyDescent="0.25">
      <c r="A21" s="133">
        <v>2019</v>
      </c>
      <c r="B21" s="133" t="s">
        <v>114</v>
      </c>
      <c r="C21" s="133">
        <v>0</v>
      </c>
      <c r="D21" s="139" t="s">
        <v>132</v>
      </c>
    </row>
    <row r="22" spans="1:4" x14ac:dyDescent="0.25">
      <c r="A22" s="133">
        <v>2019</v>
      </c>
      <c r="B22" s="133" t="s">
        <v>114</v>
      </c>
      <c r="C22" s="133">
        <v>1</v>
      </c>
      <c r="D22" s="139" t="s">
        <v>133</v>
      </c>
    </row>
    <row r="23" spans="1:4" x14ac:dyDescent="0.25">
      <c r="A23" s="133">
        <v>2019</v>
      </c>
      <c r="B23" s="133" t="s">
        <v>114</v>
      </c>
      <c r="C23" s="133">
        <v>5</v>
      </c>
      <c r="D23" s="139" t="s">
        <v>134</v>
      </c>
    </row>
    <row r="24" spans="1:4" x14ac:dyDescent="0.25">
      <c r="A24" s="133">
        <v>2019</v>
      </c>
      <c r="B24" s="133" t="s">
        <v>114</v>
      </c>
      <c r="C24" s="133">
        <v>10</v>
      </c>
      <c r="D24" s="139" t="s">
        <v>135</v>
      </c>
    </row>
    <row r="25" spans="1:4" x14ac:dyDescent="0.25">
      <c r="A25" s="133">
        <v>2019</v>
      </c>
      <c r="B25" s="133" t="s">
        <v>114</v>
      </c>
      <c r="C25" s="133">
        <v>15</v>
      </c>
      <c r="D25" s="139" t="s">
        <v>136</v>
      </c>
    </row>
    <row r="26" spans="1:4" x14ac:dyDescent="0.25">
      <c r="A26" s="133">
        <v>2019</v>
      </c>
      <c r="B26" s="133" t="s">
        <v>114</v>
      </c>
      <c r="C26" s="133">
        <v>20</v>
      </c>
      <c r="D26" s="139" t="s">
        <v>137</v>
      </c>
    </row>
    <row r="27" spans="1:4" x14ac:dyDescent="0.25">
      <c r="A27" s="133">
        <v>2019</v>
      </c>
      <c r="B27" s="133" t="s">
        <v>114</v>
      </c>
      <c r="C27" s="133">
        <v>25</v>
      </c>
      <c r="D27" s="139" t="s">
        <v>138</v>
      </c>
    </row>
    <row r="28" spans="1:4" x14ac:dyDescent="0.25">
      <c r="A28" s="133">
        <v>2019</v>
      </c>
      <c r="B28" s="133" t="s">
        <v>114</v>
      </c>
      <c r="C28" s="133">
        <v>30</v>
      </c>
      <c r="D28" s="139" t="s">
        <v>139</v>
      </c>
    </row>
    <row r="29" spans="1:4" x14ac:dyDescent="0.25">
      <c r="A29" s="133">
        <v>2019</v>
      </c>
      <c r="B29" s="133" t="s">
        <v>114</v>
      </c>
      <c r="C29" s="133">
        <v>35</v>
      </c>
      <c r="D29" s="139" t="s">
        <v>140</v>
      </c>
    </row>
    <row r="30" spans="1:4" x14ac:dyDescent="0.25">
      <c r="A30" s="133">
        <v>2019</v>
      </c>
      <c r="B30" s="133" t="s">
        <v>114</v>
      </c>
      <c r="C30" s="133">
        <v>40</v>
      </c>
      <c r="D30" s="139" t="s">
        <v>141</v>
      </c>
    </row>
    <row r="31" spans="1:4" x14ac:dyDescent="0.25">
      <c r="A31" s="133">
        <v>2019</v>
      </c>
      <c r="B31" s="133" t="s">
        <v>114</v>
      </c>
      <c r="C31" s="133">
        <v>45</v>
      </c>
      <c r="D31" s="139" t="s">
        <v>142</v>
      </c>
    </row>
    <row r="32" spans="1:4" x14ac:dyDescent="0.25">
      <c r="A32" s="133">
        <v>2019</v>
      </c>
      <c r="B32" s="133" t="s">
        <v>114</v>
      </c>
      <c r="C32" s="133">
        <v>50</v>
      </c>
      <c r="D32" s="139" t="s">
        <v>143</v>
      </c>
    </row>
    <row r="33" spans="1:4" x14ac:dyDescent="0.25">
      <c r="A33" s="133">
        <v>2019</v>
      </c>
      <c r="B33" s="133" t="s">
        <v>114</v>
      </c>
      <c r="C33" s="133">
        <v>55</v>
      </c>
      <c r="D33" s="139" t="s">
        <v>144</v>
      </c>
    </row>
    <row r="34" spans="1:4" x14ac:dyDescent="0.25">
      <c r="A34" s="133">
        <v>2019</v>
      </c>
      <c r="B34" s="133" t="s">
        <v>114</v>
      </c>
      <c r="C34" s="133">
        <v>60</v>
      </c>
      <c r="D34" s="139" t="s">
        <v>145</v>
      </c>
    </row>
    <row r="35" spans="1:4" x14ac:dyDescent="0.25">
      <c r="A35" s="133">
        <v>2019</v>
      </c>
      <c r="B35" s="133" t="s">
        <v>114</v>
      </c>
      <c r="C35" s="133">
        <v>65</v>
      </c>
      <c r="D35" s="139" t="s">
        <v>146</v>
      </c>
    </row>
    <row r="36" spans="1:4" x14ac:dyDescent="0.25">
      <c r="A36" s="133">
        <v>2019</v>
      </c>
      <c r="B36" s="133" t="s">
        <v>114</v>
      </c>
      <c r="C36" s="133">
        <v>70</v>
      </c>
      <c r="D36" s="139" t="s">
        <v>147</v>
      </c>
    </row>
    <row r="37" spans="1:4" x14ac:dyDescent="0.25">
      <c r="A37" s="133">
        <v>2019</v>
      </c>
      <c r="B37" s="133" t="s">
        <v>114</v>
      </c>
      <c r="C37" s="133">
        <v>75</v>
      </c>
      <c r="D37" s="139" t="s">
        <v>148</v>
      </c>
    </row>
    <row r="38" spans="1:4" x14ac:dyDescent="0.25">
      <c r="A38" s="133">
        <v>2019</v>
      </c>
      <c r="B38" s="133" t="s">
        <v>114</v>
      </c>
      <c r="C38" s="133">
        <v>80</v>
      </c>
      <c r="D38" s="139" t="s">
        <v>149</v>
      </c>
    </row>
    <row r="39" spans="1:4" x14ac:dyDescent="0.25">
      <c r="A39" s="133">
        <v>2019</v>
      </c>
      <c r="B39" s="133" t="s">
        <v>114</v>
      </c>
      <c r="C39" s="133">
        <v>85</v>
      </c>
      <c r="D39" s="139" t="s">
        <v>150</v>
      </c>
    </row>
    <row r="40" spans="1:4" x14ac:dyDescent="0.25">
      <c r="A40">
        <v>2021</v>
      </c>
      <c r="B40" t="s">
        <v>114</v>
      </c>
      <c r="C40">
        <v>0</v>
      </c>
      <c r="D40">
        <v>10882.9329975197</v>
      </c>
    </row>
    <row r="41" spans="1:4" x14ac:dyDescent="0.25">
      <c r="A41">
        <v>2021</v>
      </c>
      <c r="B41" t="s">
        <v>114</v>
      </c>
      <c r="C41">
        <v>1</v>
      </c>
      <c r="D41">
        <v>2171.2972494055002</v>
      </c>
    </row>
    <row r="42" spans="1:4" x14ac:dyDescent="0.25">
      <c r="A42">
        <v>2021</v>
      </c>
      <c r="B42" t="s">
        <v>114</v>
      </c>
      <c r="C42">
        <v>5</v>
      </c>
      <c r="D42">
        <v>1226.64195258622</v>
      </c>
    </row>
    <row r="43" spans="1:4" x14ac:dyDescent="0.25">
      <c r="A43">
        <v>2021</v>
      </c>
      <c r="B43" t="s">
        <v>114</v>
      </c>
      <c r="C43">
        <v>10</v>
      </c>
      <c r="D43">
        <v>1903.4099264269</v>
      </c>
    </row>
    <row r="44" spans="1:4" x14ac:dyDescent="0.25">
      <c r="A44">
        <v>2021</v>
      </c>
      <c r="B44" t="s">
        <v>114</v>
      </c>
      <c r="C44">
        <v>15</v>
      </c>
      <c r="D44">
        <v>7009.1048463508396</v>
      </c>
    </row>
    <row r="45" spans="1:4" x14ac:dyDescent="0.25">
      <c r="A45">
        <v>2021</v>
      </c>
      <c r="B45" t="s">
        <v>114</v>
      </c>
      <c r="C45">
        <v>20</v>
      </c>
      <c r="D45">
        <v>12578.4521574392</v>
      </c>
    </row>
    <row r="46" spans="1:4" x14ac:dyDescent="0.25">
      <c r="A46">
        <v>2021</v>
      </c>
      <c r="B46" t="s">
        <v>114</v>
      </c>
      <c r="C46">
        <v>25</v>
      </c>
      <c r="D46">
        <v>16512.388509726901</v>
      </c>
    </row>
    <row r="47" spans="1:4" x14ac:dyDescent="0.25">
      <c r="A47">
        <v>2021</v>
      </c>
      <c r="B47" t="s">
        <v>114</v>
      </c>
      <c r="C47">
        <v>30</v>
      </c>
      <c r="D47">
        <v>18735.451142527301</v>
      </c>
    </row>
    <row r="48" spans="1:4" x14ac:dyDescent="0.25">
      <c r="A48">
        <v>2021</v>
      </c>
      <c r="B48" t="s">
        <v>114</v>
      </c>
      <c r="C48">
        <v>35</v>
      </c>
      <c r="D48">
        <v>22669.1277996522</v>
      </c>
    </row>
    <row r="49" spans="1:4" x14ac:dyDescent="0.25">
      <c r="A49">
        <v>2021</v>
      </c>
      <c r="B49" t="s">
        <v>114</v>
      </c>
      <c r="C49">
        <v>40</v>
      </c>
      <c r="D49">
        <v>27526.331183873001</v>
      </c>
    </row>
    <row r="50" spans="1:4" x14ac:dyDescent="0.25">
      <c r="A50">
        <v>2021</v>
      </c>
      <c r="B50" t="s">
        <v>114</v>
      </c>
      <c r="C50">
        <v>45</v>
      </c>
      <c r="D50">
        <v>37428.571421247798</v>
      </c>
    </row>
    <row r="51" spans="1:4" x14ac:dyDescent="0.25">
      <c r="A51">
        <v>2021</v>
      </c>
      <c r="B51" t="s">
        <v>114</v>
      </c>
      <c r="C51">
        <v>50</v>
      </c>
      <c r="D51">
        <v>43521.785641838003</v>
      </c>
    </row>
    <row r="52" spans="1:4" x14ac:dyDescent="0.25">
      <c r="A52">
        <v>2021</v>
      </c>
      <c r="B52" t="s">
        <v>114</v>
      </c>
      <c r="C52">
        <v>55</v>
      </c>
      <c r="D52">
        <v>52472.278600302103</v>
      </c>
    </row>
    <row r="53" spans="1:4" x14ac:dyDescent="0.25">
      <c r="A53">
        <v>2021</v>
      </c>
      <c r="B53" t="s">
        <v>114</v>
      </c>
      <c r="C53">
        <v>60</v>
      </c>
      <c r="D53">
        <v>60274.978171044902</v>
      </c>
    </row>
    <row r="54" spans="1:4" x14ac:dyDescent="0.25">
      <c r="A54">
        <v>2021</v>
      </c>
      <c r="B54" t="s">
        <v>114</v>
      </c>
      <c r="C54">
        <v>65</v>
      </c>
      <c r="D54">
        <v>64671.196875941401</v>
      </c>
    </row>
    <row r="55" spans="1:4" x14ac:dyDescent="0.25">
      <c r="A55">
        <v>2021</v>
      </c>
      <c r="B55" t="s">
        <v>114</v>
      </c>
      <c r="C55">
        <v>70</v>
      </c>
      <c r="D55">
        <v>64847.993838311399</v>
      </c>
    </row>
    <row r="56" spans="1:4" x14ac:dyDescent="0.25">
      <c r="A56">
        <v>2021</v>
      </c>
      <c r="B56" t="s">
        <v>114</v>
      </c>
      <c r="C56">
        <v>75</v>
      </c>
      <c r="D56">
        <v>62840.269730548702</v>
      </c>
    </row>
    <row r="57" spans="1:4" x14ac:dyDescent="0.25">
      <c r="A57">
        <v>2021</v>
      </c>
      <c r="B57" t="s">
        <v>114</v>
      </c>
      <c r="C57">
        <v>80</v>
      </c>
      <c r="D57">
        <v>57065.5595821237</v>
      </c>
    </row>
    <row r="58" spans="1:4" x14ac:dyDescent="0.25">
      <c r="A58">
        <v>2021</v>
      </c>
      <c r="B58" t="s">
        <v>114</v>
      </c>
      <c r="C58">
        <v>85</v>
      </c>
      <c r="D58">
        <v>80765.283459780505</v>
      </c>
    </row>
    <row r="59" spans="1:4" x14ac:dyDescent="0.25">
      <c r="A59">
        <v>2010</v>
      </c>
      <c r="B59" t="s">
        <v>115</v>
      </c>
      <c r="C59">
        <v>0</v>
      </c>
      <c r="D59">
        <v>12786.613233497699</v>
      </c>
    </row>
    <row r="60" spans="1:4" x14ac:dyDescent="0.25">
      <c r="A60">
        <v>2010</v>
      </c>
      <c r="B60" t="s">
        <v>115</v>
      </c>
      <c r="C60">
        <v>1</v>
      </c>
      <c r="D60">
        <v>2614.4156688599501</v>
      </c>
    </row>
    <row r="61" spans="1:4" x14ac:dyDescent="0.25">
      <c r="A61">
        <v>2010</v>
      </c>
      <c r="B61" t="s">
        <v>115</v>
      </c>
      <c r="C61">
        <v>5</v>
      </c>
      <c r="D61">
        <v>1331.45503393947</v>
      </c>
    </row>
    <row r="62" spans="1:4" x14ac:dyDescent="0.25">
      <c r="A62">
        <v>2010</v>
      </c>
      <c r="B62" t="s">
        <v>115</v>
      </c>
      <c r="C62">
        <v>10</v>
      </c>
      <c r="D62">
        <v>1493.7797427861401</v>
      </c>
    </row>
    <row r="63" spans="1:4" x14ac:dyDescent="0.25">
      <c r="A63">
        <v>2010</v>
      </c>
      <c r="B63" t="s">
        <v>115</v>
      </c>
      <c r="C63">
        <v>15</v>
      </c>
      <c r="D63">
        <v>2817.1432602801701</v>
      </c>
    </row>
    <row r="64" spans="1:4" x14ac:dyDescent="0.25">
      <c r="A64">
        <v>2010</v>
      </c>
      <c r="B64" t="s">
        <v>115</v>
      </c>
      <c r="C64">
        <v>20</v>
      </c>
      <c r="D64">
        <v>3072.22500003698</v>
      </c>
    </row>
    <row r="65" spans="1:4" x14ac:dyDescent="0.25">
      <c r="A65">
        <v>2010</v>
      </c>
      <c r="B65" t="s">
        <v>115</v>
      </c>
      <c r="C65">
        <v>25</v>
      </c>
      <c r="D65">
        <v>3268.1724015456898</v>
      </c>
    </row>
    <row r="66" spans="1:4" x14ac:dyDescent="0.25">
      <c r="A66">
        <v>2010</v>
      </c>
      <c r="B66" t="s">
        <v>115</v>
      </c>
      <c r="C66">
        <v>30</v>
      </c>
      <c r="D66">
        <v>3805.98872636434</v>
      </c>
    </row>
    <row r="67" spans="1:4" x14ac:dyDescent="0.25">
      <c r="A67">
        <v>2010</v>
      </c>
      <c r="B67" t="s">
        <v>115</v>
      </c>
      <c r="C67">
        <v>35</v>
      </c>
      <c r="D67">
        <v>4917.0330731313697</v>
      </c>
    </row>
    <row r="68" spans="1:4" x14ac:dyDescent="0.25">
      <c r="A68">
        <v>2010</v>
      </c>
      <c r="B68" t="s">
        <v>115</v>
      </c>
      <c r="C68">
        <v>40</v>
      </c>
      <c r="D68">
        <v>6276.2618439526204</v>
      </c>
    </row>
    <row r="69" spans="1:4" x14ac:dyDescent="0.25">
      <c r="A69">
        <v>2010</v>
      </c>
      <c r="B69" t="s">
        <v>115</v>
      </c>
      <c r="C69">
        <v>45</v>
      </c>
      <c r="D69">
        <v>8876.27894634312</v>
      </c>
    </row>
    <row r="70" spans="1:4" x14ac:dyDescent="0.25">
      <c r="A70">
        <v>2010</v>
      </c>
      <c r="B70" t="s">
        <v>115</v>
      </c>
      <c r="C70">
        <v>50</v>
      </c>
      <c r="D70">
        <v>11840.9409302822</v>
      </c>
    </row>
    <row r="71" spans="1:4" x14ac:dyDescent="0.25">
      <c r="A71">
        <v>2010</v>
      </c>
      <c r="B71" t="s">
        <v>115</v>
      </c>
      <c r="C71">
        <v>55</v>
      </c>
      <c r="D71">
        <v>14797.4818614572</v>
      </c>
    </row>
    <row r="72" spans="1:4" x14ac:dyDescent="0.25">
      <c r="A72">
        <v>2010</v>
      </c>
      <c r="B72" t="s">
        <v>115</v>
      </c>
      <c r="C72">
        <v>60</v>
      </c>
      <c r="D72">
        <v>18076.194434067202</v>
      </c>
    </row>
    <row r="73" spans="1:4" x14ac:dyDescent="0.25">
      <c r="A73">
        <v>2010</v>
      </c>
      <c r="B73" t="s">
        <v>115</v>
      </c>
      <c r="C73">
        <v>65</v>
      </c>
      <c r="D73">
        <v>21038.3866314693</v>
      </c>
    </row>
    <row r="74" spans="1:4" x14ac:dyDescent="0.25">
      <c r="A74">
        <v>2010</v>
      </c>
      <c r="B74" t="s">
        <v>115</v>
      </c>
      <c r="C74">
        <v>70</v>
      </c>
      <c r="D74">
        <v>24935.1687989522</v>
      </c>
    </row>
    <row r="75" spans="1:4" x14ac:dyDescent="0.25">
      <c r="A75">
        <v>2010</v>
      </c>
      <c r="B75" t="s">
        <v>115</v>
      </c>
      <c r="C75">
        <v>75</v>
      </c>
      <c r="D75">
        <v>28679.2732670271</v>
      </c>
    </row>
    <row r="76" spans="1:4" x14ac:dyDescent="0.25">
      <c r="A76">
        <v>2010</v>
      </c>
      <c r="B76" t="s">
        <v>115</v>
      </c>
      <c r="C76">
        <v>80</v>
      </c>
      <c r="D76">
        <v>29885.405400330699</v>
      </c>
    </row>
    <row r="77" spans="1:4" x14ac:dyDescent="0.25">
      <c r="A77">
        <v>2010</v>
      </c>
      <c r="B77" t="s">
        <v>115</v>
      </c>
      <c r="C77">
        <v>85</v>
      </c>
      <c r="D77">
        <v>54804.607048007099</v>
      </c>
    </row>
    <row r="78" spans="1:4" x14ac:dyDescent="0.25">
      <c r="A78" s="134">
        <v>2019</v>
      </c>
      <c r="B78" s="134" t="s">
        <v>115</v>
      </c>
      <c r="C78" s="134">
        <v>0</v>
      </c>
      <c r="D78" s="140" t="s">
        <v>151</v>
      </c>
    </row>
    <row r="79" spans="1:4" x14ac:dyDescent="0.25">
      <c r="A79" s="134">
        <v>2019</v>
      </c>
      <c r="B79" s="134" t="s">
        <v>115</v>
      </c>
      <c r="C79" s="134">
        <v>1</v>
      </c>
      <c r="D79" s="140" t="s">
        <v>152</v>
      </c>
    </row>
    <row r="80" spans="1:4" x14ac:dyDescent="0.25">
      <c r="A80" s="134">
        <v>2019</v>
      </c>
      <c r="B80" s="134" t="s">
        <v>115</v>
      </c>
      <c r="C80" s="134">
        <v>5</v>
      </c>
      <c r="D80" s="140" t="s">
        <v>153</v>
      </c>
    </row>
    <row r="81" spans="1:4" x14ac:dyDescent="0.25">
      <c r="A81" s="134">
        <v>2019</v>
      </c>
      <c r="B81" s="134" t="s">
        <v>115</v>
      </c>
      <c r="C81" s="134">
        <v>10</v>
      </c>
      <c r="D81" s="140" t="s">
        <v>154</v>
      </c>
    </row>
    <row r="82" spans="1:4" x14ac:dyDescent="0.25">
      <c r="A82" s="134">
        <v>2019</v>
      </c>
      <c r="B82" s="134" t="s">
        <v>115</v>
      </c>
      <c r="C82" s="134">
        <v>15</v>
      </c>
      <c r="D82" s="140" t="s">
        <v>155</v>
      </c>
    </row>
    <row r="83" spans="1:4" x14ac:dyDescent="0.25">
      <c r="A83" s="134">
        <v>2019</v>
      </c>
      <c r="B83" s="134" t="s">
        <v>115</v>
      </c>
      <c r="C83" s="134">
        <v>20</v>
      </c>
      <c r="D83" s="140" t="s">
        <v>156</v>
      </c>
    </row>
    <row r="84" spans="1:4" x14ac:dyDescent="0.25">
      <c r="A84" s="134">
        <v>2019</v>
      </c>
      <c r="B84" s="134" t="s">
        <v>115</v>
      </c>
      <c r="C84" s="134">
        <v>25</v>
      </c>
      <c r="D84" s="140" t="s">
        <v>157</v>
      </c>
    </row>
    <row r="85" spans="1:4" x14ac:dyDescent="0.25">
      <c r="A85" s="134">
        <v>2019</v>
      </c>
      <c r="B85" s="134" t="s">
        <v>115</v>
      </c>
      <c r="C85" s="134">
        <v>30</v>
      </c>
      <c r="D85" s="140" t="s">
        <v>158</v>
      </c>
    </row>
    <row r="86" spans="1:4" x14ac:dyDescent="0.25">
      <c r="A86" s="134">
        <v>2019</v>
      </c>
      <c r="B86" s="134" t="s">
        <v>115</v>
      </c>
      <c r="C86" s="134">
        <v>35</v>
      </c>
      <c r="D86" s="140" t="s">
        <v>159</v>
      </c>
    </row>
    <row r="87" spans="1:4" x14ac:dyDescent="0.25">
      <c r="A87" s="134">
        <v>2019</v>
      </c>
      <c r="B87" s="134" t="s">
        <v>115</v>
      </c>
      <c r="C87" s="134">
        <v>40</v>
      </c>
      <c r="D87" s="140" t="s">
        <v>160</v>
      </c>
    </row>
    <row r="88" spans="1:4" x14ac:dyDescent="0.25">
      <c r="A88" s="134">
        <v>2019</v>
      </c>
      <c r="B88" s="134" t="s">
        <v>115</v>
      </c>
      <c r="C88" s="134">
        <v>45</v>
      </c>
      <c r="D88" s="140" t="s">
        <v>161</v>
      </c>
    </row>
    <row r="89" spans="1:4" x14ac:dyDescent="0.25">
      <c r="A89" s="134">
        <v>2019</v>
      </c>
      <c r="B89" s="134" t="s">
        <v>115</v>
      </c>
      <c r="C89" s="134">
        <v>50</v>
      </c>
      <c r="D89" s="140" t="s">
        <v>162</v>
      </c>
    </row>
    <row r="90" spans="1:4" x14ac:dyDescent="0.25">
      <c r="A90" s="134">
        <v>2019</v>
      </c>
      <c r="B90" s="134" t="s">
        <v>115</v>
      </c>
      <c r="C90" s="134">
        <v>55</v>
      </c>
      <c r="D90" s="140" t="s">
        <v>163</v>
      </c>
    </row>
    <row r="91" spans="1:4" x14ac:dyDescent="0.25">
      <c r="A91" s="134">
        <v>2019</v>
      </c>
      <c r="B91" s="134" t="s">
        <v>115</v>
      </c>
      <c r="C91" s="134">
        <v>60</v>
      </c>
      <c r="D91" s="140" t="s">
        <v>164</v>
      </c>
    </row>
    <row r="92" spans="1:4" x14ac:dyDescent="0.25">
      <c r="A92" s="134">
        <v>2019</v>
      </c>
      <c r="B92" s="134" t="s">
        <v>115</v>
      </c>
      <c r="C92" s="134">
        <v>65</v>
      </c>
      <c r="D92" s="140" t="s">
        <v>165</v>
      </c>
    </row>
    <row r="93" spans="1:4" x14ac:dyDescent="0.25">
      <c r="A93" s="134">
        <v>2019</v>
      </c>
      <c r="B93" s="134" t="s">
        <v>115</v>
      </c>
      <c r="C93" s="134">
        <v>70</v>
      </c>
      <c r="D93" s="140" t="s">
        <v>166</v>
      </c>
    </row>
    <row r="94" spans="1:4" x14ac:dyDescent="0.25">
      <c r="A94" s="134">
        <v>2019</v>
      </c>
      <c r="B94" s="134" t="s">
        <v>115</v>
      </c>
      <c r="C94" s="134">
        <v>75</v>
      </c>
      <c r="D94" s="140" t="s">
        <v>167</v>
      </c>
    </row>
    <row r="95" spans="1:4" x14ac:dyDescent="0.25">
      <c r="A95" s="134">
        <v>2019</v>
      </c>
      <c r="B95" s="134" t="s">
        <v>115</v>
      </c>
      <c r="C95" s="134">
        <v>80</v>
      </c>
      <c r="D95" s="140" t="s">
        <v>168</v>
      </c>
    </row>
    <row r="96" spans="1:4" x14ac:dyDescent="0.25">
      <c r="A96" s="134">
        <v>2019</v>
      </c>
      <c r="B96" s="134" t="s">
        <v>115</v>
      </c>
      <c r="C96" s="134">
        <v>85</v>
      </c>
      <c r="D96" s="140" t="s">
        <v>169</v>
      </c>
    </row>
    <row r="97" spans="1:4" x14ac:dyDescent="0.25">
      <c r="A97">
        <v>2021</v>
      </c>
      <c r="B97" t="s">
        <v>115</v>
      </c>
      <c r="C97">
        <v>0</v>
      </c>
      <c r="D97">
        <v>8477.8082223735491</v>
      </c>
    </row>
    <row r="98" spans="1:4" x14ac:dyDescent="0.25">
      <c r="A98">
        <v>2021</v>
      </c>
      <c r="B98" t="s">
        <v>115</v>
      </c>
      <c r="C98">
        <v>1</v>
      </c>
      <c r="D98">
        <v>1838.9671297868899</v>
      </c>
    </row>
    <row r="99" spans="1:4" x14ac:dyDescent="0.25">
      <c r="A99">
        <v>2021</v>
      </c>
      <c r="B99" t="s">
        <v>115</v>
      </c>
      <c r="C99">
        <v>5</v>
      </c>
      <c r="D99">
        <v>1011.08154658941</v>
      </c>
    </row>
    <row r="100" spans="1:4" x14ac:dyDescent="0.25">
      <c r="A100">
        <v>2021</v>
      </c>
      <c r="B100" t="s">
        <v>115</v>
      </c>
      <c r="C100">
        <v>10</v>
      </c>
      <c r="D100">
        <v>1446.54736120961</v>
      </c>
    </row>
    <row r="101" spans="1:4" x14ac:dyDescent="0.25">
      <c r="A101">
        <v>2021</v>
      </c>
      <c r="B101" t="s">
        <v>115</v>
      </c>
      <c r="C101">
        <v>15</v>
      </c>
      <c r="D101">
        <v>2653.11379968855</v>
      </c>
    </row>
    <row r="102" spans="1:4" x14ac:dyDescent="0.25">
      <c r="A102">
        <v>2021</v>
      </c>
      <c r="B102" t="s">
        <v>115</v>
      </c>
      <c r="C102">
        <v>20</v>
      </c>
      <c r="D102">
        <v>3801.2318545748499</v>
      </c>
    </row>
    <row r="103" spans="1:4" x14ac:dyDescent="0.25">
      <c r="A103">
        <v>2021</v>
      </c>
      <c r="B103" t="s">
        <v>115</v>
      </c>
      <c r="C103">
        <v>25</v>
      </c>
      <c r="D103">
        <v>5271.5837425653699</v>
      </c>
    </row>
    <row r="104" spans="1:4" x14ac:dyDescent="0.25">
      <c r="A104">
        <v>2021</v>
      </c>
      <c r="B104" t="s">
        <v>115</v>
      </c>
      <c r="C104">
        <v>30</v>
      </c>
      <c r="D104">
        <v>6453.4472881237098</v>
      </c>
    </row>
    <row r="105" spans="1:4" x14ac:dyDescent="0.25">
      <c r="A105">
        <v>2021</v>
      </c>
      <c r="B105" t="s">
        <v>115</v>
      </c>
      <c r="C105">
        <v>35</v>
      </c>
      <c r="D105">
        <v>9226.45047830966</v>
      </c>
    </row>
    <row r="106" spans="1:4" x14ac:dyDescent="0.25">
      <c r="A106">
        <v>2021</v>
      </c>
      <c r="B106" t="s">
        <v>115</v>
      </c>
      <c r="C106">
        <v>40</v>
      </c>
      <c r="D106">
        <v>12848.3414320436</v>
      </c>
    </row>
    <row r="107" spans="1:4" x14ac:dyDescent="0.25">
      <c r="A107">
        <v>2021</v>
      </c>
      <c r="B107" t="s">
        <v>115</v>
      </c>
      <c r="C107">
        <v>45</v>
      </c>
      <c r="D107">
        <v>19457.934810319701</v>
      </c>
    </row>
    <row r="108" spans="1:4" x14ac:dyDescent="0.25">
      <c r="A108">
        <v>2021</v>
      </c>
      <c r="B108" t="s">
        <v>115</v>
      </c>
      <c r="C108">
        <v>50</v>
      </c>
      <c r="D108">
        <v>25072.654600580201</v>
      </c>
    </row>
    <row r="109" spans="1:4" x14ac:dyDescent="0.25">
      <c r="A109">
        <v>2021</v>
      </c>
      <c r="B109" t="s">
        <v>115</v>
      </c>
      <c r="C109">
        <v>55</v>
      </c>
      <c r="D109">
        <v>34732.552885442303</v>
      </c>
    </row>
    <row r="110" spans="1:4" x14ac:dyDescent="0.25">
      <c r="A110">
        <v>2021</v>
      </c>
      <c r="B110" t="s">
        <v>115</v>
      </c>
      <c r="C110">
        <v>60</v>
      </c>
      <c r="D110">
        <v>43023.693960644399</v>
      </c>
    </row>
    <row r="111" spans="1:4" x14ac:dyDescent="0.25">
      <c r="A111">
        <v>2021</v>
      </c>
      <c r="B111" t="s">
        <v>115</v>
      </c>
      <c r="C111">
        <v>65</v>
      </c>
      <c r="D111">
        <v>47595.337802683702</v>
      </c>
    </row>
    <row r="112" spans="1:4" x14ac:dyDescent="0.25">
      <c r="A112">
        <v>2021</v>
      </c>
      <c r="B112" t="s">
        <v>115</v>
      </c>
      <c r="C112">
        <v>70</v>
      </c>
      <c r="D112">
        <v>50036.3975963298</v>
      </c>
    </row>
    <row r="113" spans="1:4" x14ac:dyDescent="0.25">
      <c r="A113">
        <v>2021</v>
      </c>
      <c r="B113" t="s">
        <v>115</v>
      </c>
      <c r="C113">
        <v>75</v>
      </c>
      <c r="D113">
        <v>51790.853590984298</v>
      </c>
    </row>
    <row r="114" spans="1:4" x14ac:dyDescent="0.25">
      <c r="A114">
        <v>2021</v>
      </c>
      <c r="B114" t="s">
        <v>115</v>
      </c>
      <c r="C114">
        <v>80</v>
      </c>
      <c r="D114">
        <v>52231.3508790099</v>
      </c>
    </row>
    <row r="115" spans="1:4" x14ac:dyDescent="0.25">
      <c r="A115">
        <v>2021</v>
      </c>
      <c r="B115" t="s">
        <v>115</v>
      </c>
      <c r="C115">
        <v>85</v>
      </c>
      <c r="D115">
        <v>96168.595932094206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24</vt:i4>
      </vt:variant>
    </vt:vector>
  </HeadingPairs>
  <TitlesOfParts>
    <vt:vector size="31" baseType="lpstr">
      <vt:lpstr>Introduction</vt:lpstr>
      <vt:lpstr>Coefficients</vt:lpstr>
      <vt:lpstr>Model LTs</vt:lpstr>
      <vt:lpstr>Decrementos Múltiples</vt:lpstr>
      <vt:lpstr>LT</vt:lpstr>
      <vt:lpstr>Homicidios</vt:lpstr>
      <vt:lpstr>Defunciones generales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Viviana Montserrat Vergara Galindo</cp:lastModifiedBy>
  <dcterms:created xsi:type="dcterms:W3CDTF">2012-05-08T12:24:09Z</dcterms:created>
  <dcterms:modified xsi:type="dcterms:W3CDTF">2026-06-02T18:55:01Z</dcterms:modified>
</cp:coreProperties>
</file>